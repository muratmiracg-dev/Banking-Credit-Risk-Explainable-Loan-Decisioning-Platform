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45bf5624c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87d2a94ce49420c"/>
    <x:sheet xmlns:r="http://schemas.openxmlformats.org/officeDocument/2006/relationships" name="Executive Summary" sheetId="2" r:id="R005f5c1465c64352"/>
    <x:sheet xmlns:r="http://schemas.openxmlformats.org/officeDocument/2006/relationships" name="Policy Simulator" sheetId="3" r:id="R298a92348e664608"/>
    <x:sheet xmlns:r="http://schemas.openxmlformats.org/officeDocument/2006/relationships" name="Model Comparison" sheetId="4" r:id="R2b6de4b0036748d8"/>
    <x:sheet xmlns:r="http://schemas.openxmlformats.org/officeDocument/2006/relationships" name="Risk Bands" sheetId="5" r:id="R3032bc3b48bb4b0d"/>
    <x:sheet xmlns:r="http://schemas.openxmlformats.org/officeDocument/2006/relationships" name="Risk Deciles" sheetId="6" r:id="R9130e5e55b804795"/>
    <x:sheet xmlns:r="http://schemas.openxmlformats.org/officeDocument/2006/relationships" name="Monthly Monitoring" sheetId="7" r:id="R5c43b24c4bd84023"/>
    <x:sheet xmlns:r="http://schemas.openxmlformats.org/officeDocument/2006/relationships" name="Fairness Review" sheetId="8" r:id="R1c44410d4159409c"/>
    <x:sheet xmlns:r="http://schemas.openxmlformats.org/officeDocument/2006/relationships" name="SHAP Drivers" sheetId="9" r:id="R74d8f80dde6e4426"/>
    <x:sheet xmlns:r="http://schemas.openxmlformats.org/officeDocument/2006/relationships" name="Scored Sample" sheetId="10" r:id="R6a40490d7ee94423"/>
    <x:sheet xmlns:r="http://schemas.openxmlformats.org/officeDocument/2006/relationships" name="Data Quality" sheetId="11" r:id="R2a12fb9f1fe447e4"/>
    <x:sheet xmlns:r="http://schemas.openxmlformats.org/officeDocument/2006/relationships" name="Assumptions" sheetId="12" r:id="R10c7076d2d044fbf"/>
    <x:sheet xmlns:r="http://schemas.openxmlformats.org/officeDocument/2006/relationships" name="Sources &amp; Audit" sheetId="13" r:id="R9289a9580a6b466a"/>
    <x:sheet xmlns:r="http://schemas.openxmlformats.org/officeDocument/2006/relationships" name="Checks" sheetId="14" r:id="R9caf8d3ccba34e86"/>
  </x:sheets>
</x:workbook>
</file>

<file path=xl/comments1.xml><?xml version="1.0" encoding="utf-8"?>
<x:comments xmlns:x="http://schemas.openxmlformats.org/spreadsheetml/2006/main">
  <x:authors>
    <x:author>tc={88C26AFB-8DD7-F573-0477-FE027D3FF437}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artifacts/metrics/executive_summary.json; generated by scripts/run_pipeline.py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"/>
    <x:numFmt numFmtId="202" formatCode="₺#,##0;[Red](₺#,##0);-"/>
    <x:numFmt numFmtId="203" formatCode="0.000"/>
    <x:numFmt numFmtId="204" formatCode="0.0E+00"/>
    <x:numFmt numFmtId="205" formatCode="@"/>
    <x:numFmt numFmtId="206" formatCode="#,##0"/>
    <x:numFmt numFmtId="207" formatCode="₺#,##0"/>
    <x:numFmt numFmtId="208" formatCode="0.00x"/>
  </x:numFmts>
  <x:fonts count="14">
    <x:font>
      <x:sz val="11"/>
      <x:name val="Carlito"/>
    </x:font>
    <x:font>
      <x:b/>
      <x:sz val="24"/>
      <x:color rgb="FFFFFFFF"/>
      <x:name val="Carlito"/>
    </x:font>
    <x:font>
      <x:sz val="12"/>
      <x:color rgb="FF0B1F3A"/>
      <x:name val="Carlito"/>
    </x:font>
    <x:font>
      <x:sz val="10"/>
      <x:color rgb="FF111827"/>
      <x:name val="Carlito"/>
    </x:font>
    <x:font>
      <x:b/>
      <x:sz val="10"/>
      <x:color rgb="FF64748B"/>
      <x:name val="Carlito"/>
    </x:font>
    <x:font>
      <x:b/>
      <x:sz val="11"/>
      <x:color rgb="FFFFFFFF"/>
      <x:name val="Carlito"/>
    </x:font>
    <x:font>
      <x:i/>
      <x:sz val="9"/>
      <x:color rgb="FFB42318"/>
      <x:name val="Carlito"/>
    </x:font>
    <x:font>
      <x:b/>
      <x:sz val="20"/>
      <x:color rgb="FFFFFFFF"/>
      <x:name val="Carlito"/>
    </x:font>
    <x:font>
      <x:sz val="10"/>
      <x:color rgb="FF64748B"/>
      <x:name val="Carlito"/>
    </x:font>
    <x:font>
      <x:sz val="10"/>
      <x:color rgb="FF0000FF"/>
      <x:name val="Carlito"/>
    </x:font>
    <x:font>
      <x:b/>
      <x:sz val="20"/>
      <x:color rgb="FF0B1F3A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b/>
      <x:sz val="18"/>
      <x:color rgb="FF0B1F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EEF6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</x:fills>
  <x:borders count="18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97706"/>
      </x:left>
      <x:right style="thin">
        <x:color rgb="FFD97706"/>
      </x:right>
      <x:top style="thin">
        <x:color rgb="FFD97706"/>
      </x:top>
      <x:bottom style="thin">
        <x:color rgb="FFE2E8F0"/>
      </x:bottom>
    </x:border>
    <x:border>
      <x:left style="thin">
        <x:color rgb="FFD97706"/>
      </x:left>
      <x:right style="thin">
        <x:color rgb="FFD97706"/>
      </x:right>
      <x:top style="thin">
        <x:color rgb="FFE2E8F0"/>
      </x:top>
      <x:bottom style="thin">
        <x:color rgb="FFE2E8F0"/>
      </x:bottom>
    </x:border>
    <x:border>
      <x:left style="thin">
        <x:color rgb="FFD97706"/>
      </x:left>
      <x:right style="thin">
        <x:color rgb="FFD97706"/>
      </x:right>
      <x:top style="thin">
        <x:color rgb="FFE2E8F0"/>
      </x:top>
      <x:bottom style="thin">
        <x:color rgb="FFD97706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2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0" fontId="9" fillId="5" borderId="7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200" fontId="9" fillId="5" borderId="7" xfId="0" applyNumberFormat="1" applyFont="1" applyFill="1" applyBorder="1" applyAlignment="1">
      <x:alignment vertical="center"/>
    </x:xf>
    <x:xf numFmtId="200" fontId="9" fillId="5" borderId="8" xfId="0" applyNumberFormat="1" applyFont="1" applyFill="1" applyBorder="1" applyAlignment="1">
      <x:alignment vertical="center"/>
    </x:xf>
    <x:xf numFmtId="201" fontId="9" fillId="5" borderId="8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0" fontId="9" fillId="5" borderId="2" xfId="0" applyNumberFormat="1" applyFont="1" applyFill="1" applyBorder="1" applyAlignment="1">
      <x:alignment vertical="center"/>
    </x:xf>
    <x:xf numFmtId="200" fontId="9" fillId="5" borderId="3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4" fillId="3" borderId="10" xfId="0" applyNumberFormat="1" applyFont="1" applyFill="1" applyBorder="1"/>
    <x:xf numFmtId="0" fontId="10" fillId="3" borderId="12" xfId="0" applyNumberFormat="1" applyFont="1" applyFill="1" applyBorder="1"/>
    <x:xf numFmtId="200" fontId="10" fillId="3" borderId="12" xfId="0" applyNumberFormat="1" applyFont="1" applyFill="1" applyBorder="1"/>
    <x:xf numFmtId="200" fontId="10" fillId="3" borderId="12" xfId="0" applyNumberFormat="1" applyFont="1" applyFill="1" applyBorder="1" applyAlignment="1">
      <x:alignment vertical="center"/>
    </x:xf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202" fontId="10" fillId="3" borderId="12" xfId="0" applyNumberFormat="1" applyFont="1" applyFill="1" applyBorder="1"/>
    <x:xf numFmtId="202" fontId="10" fillId="3" borderId="12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202" fontId="11" fillId="0" borderId="1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2" fontId="11" fillId="0" borderId="2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202" fontId="11" fillId="0" borderId="3" xfId="0" applyNumberFormat="1" applyFont="1" applyFill="1" applyBorder="1" applyAlignment="1">
      <x:alignment vertical="center"/>
    </x:xf>
    <x:xf numFmtId="203" fontId="10" fillId="3" borderId="12" xfId="0" applyNumberFormat="1" applyFont="1" applyFill="1" applyBorder="1"/>
    <x:xf numFmtId="203" fontId="10" fillId="3" borderId="12" xfId="0" applyNumberFormat="1" applyFont="1" applyFill="1" applyBorder="1" applyAlignment="1">
      <x:alignment vertical="center"/>
    </x:xf>
    <x:xf numFmtId="204" fontId="10" fillId="3" borderId="12" xfId="0" applyNumberFormat="1" applyFont="1" applyFill="1" applyBorder="1"/>
    <x:xf numFmtId="204" fontId="10" fillId="3" borderId="12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/>
    </x:xf>
    <x:xf numFmtId="205" fontId="3" fillId="0" borderId="2" xfId="0" applyNumberFormat="1" applyFont="1" applyFill="1" applyBorder="1" applyAlignment="1">
      <x:alignment vertical="center"/>
    </x:xf>
    <x:xf numFmtId="205" fontId="3" fillId="0" borderId="3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3" fillId="0" borderId="2" xfId="0" applyNumberFormat="1" applyFont="1" applyFill="1" applyBorder="1" applyAlignment="1">
      <x:alignment vertical="center"/>
    </x:xf>
    <x:xf numFmtId="203" fontId="3" fillId="0" borderId="3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/>
    <x:xf numFmtId="0" fontId="3" fillId="0" borderId="17" xfId="0" applyNumberFormat="1" applyFont="1" applyFill="1" applyBorder="1" applyAlignment="1">
      <x:alignment vertical="center"/>
    </x:xf>
    <x:xf numFmtId="203" fontId="3" fillId="0" borderId="17" xfId="0" applyNumberFormat="1" applyFont="1" applyFill="1" applyBorder="1" applyAlignment="1">
      <x:alignment vertical="center"/>
    </x:xf>
    <x:xf numFmtId="206" fontId="3" fillId="0" borderId="1" xfId="0" applyNumberFormat="1" applyFont="1" applyFill="1" applyBorder="1" applyAlignment="1">
      <x:alignment vertical="center"/>
    </x:xf>
    <x:xf numFmtId="206" fontId="3" fillId="0" borderId="2" xfId="0" applyNumberFormat="1" applyFont="1" applyFill="1" applyBorder="1" applyAlignment="1">
      <x:alignment vertical="center"/>
    </x:xf>
    <x:xf numFmtId="206" fontId="3" fillId="0" borderId="3" xfId="0" applyNumberFormat="1" applyFont="1" applyFill="1" applyBorder="1" applyAlignment="1">
      <x:alignment vertical="center"/>
    </x:xf>
    <x:xf numFmtId="207" fontId="3" fillId="0" borderId="1" xfId="0" applyNumberFormat="1" applyFont="1" applyFill="1" applyBorder="1" applyAlignment="1">
      <x:alignment vertical="center"/>
    </x:xf>
    <x:xf numFmtId="207" fontId="3" fillId="0" borderId="2" xfId="0" applyNumberFormat="1" applyFont="1" applyFill="1" applyBorder="1" applyAlignment="1">
      <x:alignment vertical="center"/>
    </x:xf>
    <x:xf numFmtId="207" fontId="3" fillId="0" borderId="3" xfId="0" applyNumberFormat="1" applyFont="1" applyFill="1" applyBorder="1" applyAlignment="1">
      <x:alignment vertical="center"/>
    </x:xf>
    <x:xf numFmtId="208" fontId="3" fillId="0" borderId="1" xfId="0" applyNumberFormat="1" applyFont="1" applyFill="1" applyBorder="1" applyAlignment="1">
      <x:alignment vertical="center"/>
    </x:xf>
    <x:xf numFmtId="208" fontId="3" fillId="0" borderId="2" xfId="0" applyNumberFormat="1" applyFont="1" applyFill="1" applyBorder="1" applyAlignment="1">
      <x:alignment vertical="center"/>
    </x:xf>
    <x:xf numFmtId="208" fontId="3" fillId="0" borderId="3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color rgb="FFB42318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bcefe2799438e" /><Relationship Type="http://schemas.openxmlformats.org/officeDocument/2006/relationships/theme" Target="/xl/theme/theme1.xml" Id="Rfd802286707941cc" /><Relationship Type="http://schemas.openxmlformats.org/officeDocument/2006/relationships/sharedStrings" Target="/xl/sharedStrings.xml" Id="R06c6a971b4454914" /><Relationship Type="http://schemas.openxmlformats.org/officeDocument/2006/relationships/worksheet" Target="/xl/worksheets/sheet1.xml" Id="R187d2a94ce49420c" /><Relationship Type="http://schemas.openxmlformats.org/officeDocument/2006/relationships/worksheet" Target="/xl/worksheets/sheet2.xml" Id="R005f5c1465c64352" /><Relationship Type="http://schemas.openxmlformats.org/officeDocument/2006/relationships/worksheet" Target="/xl/worksheets/sheet3.xml" Id="R298a92348e664608" /><Relationship Type="http://schemas.openxmlformats.org/officeDocument/2006/relationships/worksheet" Target="/xl/worksheets/sheet4.xml" Id="R2b6de4b0036748d8" /><Relationship Type="http://schemas.openxmlformats.org/officeDocument/2006/relationships/worksheet" Target="/xl/worksheets/sheet5.xml" Id="R3032bc3b48bb4b0d" /><Relationship Type="http://schemas.openxmlformats.org/officeDocument/2006/relationships/worksheet" Target="/xl/worksheets/sheet6.xml" Id="R9130e5e55b804795" /><Relationship Type="http://schemas.openxmlformats.org/officeDocument/2006/relationships/worksheet" Target="/xl/worksheets/sheet7.xml" Id="R5c43b24c4bd84023" /><Relationship Type="http://schemas.openxmlformats.org/officeDocument/2006/relationships/worksheet" Target="/xl/worksheets/sheet8.xml" Id="R1c44410d4159409c" /><Relationship Type="http://schemas.openxmlformats.org/officeDocument/2006/relationships/worksheet" Target="/xl/worksheets/sheet9.xml" Id="R74d8f80dde6e4426" /><Relationship Type="http://schemas.openxmlformats.org/officeDocument/2006/relationships/worksheet" Target="/xl/worksheets/sheet10.xml" Id="R6a40490d7ee94423" /><Relationship Type="http://schemas.openxmlformats.org/officeDocument/2006/relationships/worksheet" Target="/xl/worksheets/sheet11.xml" Id="R2a12fb9f1fe447e4" /><Relationship Type="http://schemas.openxmlformats.org/officeDocument/2006/relationships/worksheet" Target="/xl/worksheets/sheet12.xml" Id="R10c7076d2d044fbf" /><Relationship Type="http://schemas.openxmlformats.org/officeDocument/2006/relationships/worksheet" Target="/xl/worksheets/sheet13.xml" Id="R9289a9580a6b466a" /><Relationship Type="http://schemas.openxmlformats.org/officeDocument/2006/relationships/worksheet" Target="/xl/worksheets/sheet14.xml" Id="R9caf8d3ccba34e86" /><Relationship Type="http://schemas.microsoft.com/office/2017/10/relationships/person" Target="/xl/persons/person.xml" Id="R1a953514119345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cf5d1b79744d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16a8dbaf43645c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c961f7f9c8f47d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70f1af8e74d417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45f66b0cc3f43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ROC AUC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ROC AUC</c:v>
          </c:tx>
          <c:cat>
            <c:strRef>
              <c:f>'Model Comparison'!$A$5:$A$7</c:f>
              <c:strCache>
                <c:ptCount val="0"/>
              </c:strCache>
            </c:strRef>
          </c:cat>
          <c:val>
            <c:numRef>
              <c:f>'Model Comparison'!$B$5:$B$7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6"/>
          <c:min val="0.6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OOT applications by risk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Applications</c:v>
          </c:tx>
          <c:cat>
            <c:strRef>
              <c:f>'Risk Bands'!$A$5:$A$10</c:f>
              <c:strCache>
                <c:ptCount val="0"/>
              </c:strCache>
            </c:strRef>
          </c:cat>
          <c:val>
            <c:numRef>
              <c:f>'Risk Bands'!$B$5:$B$10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and predicted default rate by decile</a:t>
            </a:r>
          </a:p>
        </c:rich>
      </c:tx>
    </c:title>
    <c:plotArea>
      <c:lineChart>
        <c:grouping val="standard"/>
        <c:ser>
          <c:idx val="0"/>
          <c:order val="0"/>
          <c:tx>
            <c:v>Applications</c:v>
          </c:tx>
          <c:marker>
            <c:symbol val="none"/>
          </c:marker>
          <c:cat>
            <c:strRef>
              <c:f>'Risk Deciles'!$A$5:$A$14</c:f>
              <c:strCache>
                <c:ptCount val="0"/>
              </c:strCache>
            </c:strRef>
          </c:cat>
          <c:val>
            <c:numRef>
              <c:f>'Risk Deciles'!$B$5:$B$14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Defaults</c:v>
          </c:tx>
          <c:marker>
            <c:symbol val="none"/>
          </c:marker>
          <c:cat>
            <c:strRef>
              <c:f>'Risk Deciles'!$A$5:$A$14</c:f>
              <c:strCache>
                <c:ptCount val="0"/>
              </c:strCache>
            </c:strRef>
          </c:cat>
          <c:val>
            <c:numRef>
              <c:f>'Risk Deciles'!$C$5:$C$14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Observed DR</c:v>
          </c:tx>
          <c:marker>
            <c:symbol val="none"/>
          </c:marker>
          <c:cat>
            <c:strRef>
              <c:f>'Risk Deciles'!$A$5:$A$14</c:f>
              <c:strCache>
                <c:ptCount val="0"/>
              </c:strCache>
            </c:strRef>
          </c:cat>
          <c:val>
            <c:numRef>
              <c:f>'Risk Deciles'!$D$5:$D$14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Predicted PD</c:v>
          </c:tx>
          <c:marker>
            <c:symbol val="none"/>
          </c:marker>
          <c:cat>
            <c:strRef>
              <c:f>'Risk Deciles'!$A$5:$A$14</c:f>
              <c:strCache>
                <c:ptCount val="0"/>
              </c:strCache>
            </c:strRef>
          </c:cat>
          <c:val>
            <c:numRef>
              <c:f>'Risk Deciles'!$E$5:$E$14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OOT metrics</a:t>
            </a:r>
          </a:p>
        </c:rich>
      </c:tx>
    </c:title>
    <c:plotArea>
      <c:lineChart>
        <c:grouping val="standard"/>
        <c:ser>
          <c:idx val="0"/>
          <c:order val="0"/>
          <c:tx>
            <c:v>Applications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Monitoring'!$B$5:$B$16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Observed DR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Monitoring'!$C$5:$C$16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Average PD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Monitoring'!$D$5:$D$16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ROC AUC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Monitoring'!$E$5:$E$16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Brier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Monitoring'!$F$5:$F$16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Approval Rate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Monitoring'!$G$5:$G$16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Score PSI</c:v>
          </c:tx>
          <c:marker>
            <c:symbol val="none"/>
          </c:marker>
          <c:cat>
            <c:strRef>
              <c:f>'Monthly Monitoring'!$A$5:$A$16</c:f>
              <c:strCache>
                <c:ptCount val="0"/>
              </c:strCache>
            </c:strRef>
          </c:cat>
          <c:val>
            <c:numRef>
              <c:f>'Monthly Monitoring'!$H$5:$H$16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global model drivers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|SHAP|</c:v>
          </c:tx>
          <c:cat>
            <c:strRef>
              <c:f>'SHAP Drivers'!$A$5:$A$16</c:f>
              <c:strCache>
                <c:ptCount val="0"/>
              </c:strCache>
            </c:strRef>
          </c:cat>
          <c:val>
            <c:numRef>
              <c:f>'SHAP Drivers'!$B$5:$B$16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cf5d1b79744db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6a8dbaf43645c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961f7f9c8f47d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0f1af8e74d417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5f66b0cc3f43d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urelia Model Risk Analytics" id="{A7307CC3-7193-4A12-8A5C-5EC26D850AA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7-29T10:06:48.525" personId="{A7307CC3-7193-4A12-8A5C-5EC26D850AA8}" id="{88C26AFB-8DD7-F573-0477-FE027D3FF437}">
    <xltc:text>Source: artifacts/metrics/executive_summary.json; generated by scripts/run_pipeline.py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4d9b2e2c8d948a2" /><Relationship Type="http://schemas.openxmlformats.org/officeDocument/2006/relationships/vmlDrawing" Target="/xl/drawings/vmldrawing.vml" Id="Rbac1fb63164a4938" /><Relationship Type="http://schemas.microsoft.com/office/2017/10/relationships/threadedComment" Target="/xl/threadedcomments/threadedcomment.xml" Id="R2a4a7c1cef64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d5d726fda7a48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f16aca4cf4a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16fb2998416e45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6cb2e009c08d45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4f0f63f730b344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Banking Credit Risk &amp; Explainable
Loan Decisioning Platform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5">
      <x:c r="A5" s="8" t="str">
        <x:v>A formula-driven decision workbench for a deterministic synthetic retail lending portfolio. All outputs are recommendations for authorized human review; no automated production decision is permitted.</x:v>
      </x:c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8">
      <x:c r="A8" s="16" t="str">
        <x:v>Workbook version</x:v>
      </x:c>
      <x:c r="B8" s="13" t="str">
        <x:v>1.0.0</x:v>
      </x:c>
    </x:row>
    <x:row r="9">
      <x:c r="A9" s="17" t="str">
        <x:v>Portfolio</x:v>
      </x:c>
      <x:c r="B9" s="14" t="str">
        <x:v>Aurelia Bank (fictional)</x:v>
      </x:c>
    </x:row>
    <x:row r="10">
      <x:c r="A10" s="17" t="str">
        <x:v>Applications</x:v>
      </x:c>
      <x:c r="B10" s="14" t="n">
        <x:v>48000</x:v>
      </x:c>
    </x:row>
    <x:row r="11">
      <x:c r="A11" s="17" t="str">
        <x:v>Development / validation / OOT</x:v>
      </x:c>
      <x:c r="B11" s="14" t="str">
        <x:v>29901 / 6034 / 12065</x:v>
      </x:c>
    </x:row>
    <x:row r="12">
      <x:c r="A12" s="17" t="str">
        <x:v>Champion</x:v>
      </x:c>
      <x:c r="B12" s="14" t="str">
        <x:v>Logistic regression</x:v>
      </x:c>
    </x:row>
    <x:row r="13">
      <x:c r="A13" s="17" t="str">
        <x:v>Protected attributes</x:v>
      </x:c>
      <x:c r="B13" s="14" t="str">
        <x:v>Excluded from model; fairness audit only</x:v>
      </x:c>
    </x:row>
    <x:row r="14">
      <x:c r="A14" s="17" t="str">
        <x:v>Model scope</x:v>
      </x:c>
      <x:c r="B14" s="14" t="str">
        <x:v>Decision support only</x:v>
      </x:c>
    </x:row>
    <x:row r="15">
      <x:c r="A15" s="18" t="str">
        <x:v>Model status</x:v>
      </x:c>
      <x:c r="B15" s="15" t="str">
        <x:v>Governance review required before any real use</x:v>
      </x:c>
    </x:row>
    <x:row r="17">
      <x:c r="A17" s="19" t="str">
        <x:v>How to use this workbook</x:v>
      </x:c>
      <x:c r="B17" s="19"/>
      <x:c r="C17" s="19"/>
      <x:c r="D17" s="19"/>
      <x:c r="E17" s="19"/>
      <x:c r="F17" s="19"/>
      <x:c r="G17" s="19"/>
      <x:c r="H17" s="19"/>
    </x:row>
    <x:row r="18">
      <x:c r="A18" s="13" t="str">
        <x:v>1</x:v>
      </x:c>
      <x:c r="B18" s="13" t="str">
        <x:v>Change policy assumptions in yellow cells on the Assumptions sheet.</x:v>
      </x:c>
      <x:c r="C18" s="13"/>
      <x:c r="D18" s="13"/>
      <x:c r="E18" s="13"/>
      <x:c r="F18" s="13"/>
      <x:c r="G18" s="13"/>
      <x:c r="H18" s="13"/>
    </x:row>
    <x:row r="19">
      <x:c r="A19" s="14" t="str">
        <x:v>2</x:v>
      </x:c>
      <x:c r="B19" s="14" t="str">
        <x:v>Review formula-driven decisions and expected loss in Policy Simulator.</x:v>
      </x:c>
      <x:c r="C19" s="14"/>
      <x:c r="D19" s="14"/>
      <x:c r="E19" s="14"/>
      <x:c r="F19" s="14"/>
      <x:c r="G19" s="14"/>
      <x:c r="H19" s="14"/>
    </x:row>
    <x:row r="20">
      <x:c r="A20" s="14" t="str">
        <x:v>3</x:v>
      </x:c>
      <x:c r="B20" s="14" t="str">
        <x:v>Use Model Comparison, Risk Deciles, SHAP and Monitoring as validation evidence.</x:v>
      </x:c>
      <x:c r="C20" s="14"/>
      <x:c r="D20" s="14"/>
      <x:c r="E20" s="14"/>
      <x:c r="F20" s="14"/>
      <x:c r="G20" s="14"/>
      <x:c r="H20" s="14"/>
    </x:row>
    <x:row r="21">
      <x:c r="A21" s="14" t="str">
        <x:v>4</x:v>
      </x:c>
      <x:c r="B21" s="14" t="str">
        <x:v>Treat Fairness Review signals as mandatory governance inputs, not legal conclusions.</x:v>
      </x:c>
      <x:c r="C21" s="14"/>
      <x:c r="D21" s="14"/>
      <x:c r="E21" s="14"/>
      <x:c r="F21" s="14"/>
      <x:c r="G21" s="14"/>
      <x:c r="H21" s="14"/>
    </x:row>
    <x:row r="22">
      <x:c r="A22" s="15" t="str">
        <x:v>5</x:v>
      </x:c>
      <x:c r="B22" s="15" t="str">
        <x:v>Confirm every check is PASS before circulating the workbook.</x:v>
      </x:c>
      <x:c r="C22" s="15"/>
      <x:c r="D22" s="15"/>
      <x:c r="E22" s="15"/>
      <x:c r="F22" s="15"/>
      <x:c r="G22" s="15"/>
      <x:c r="H22" s="15"/>
    </x:row>
    <x:row r="24">
      <x:c r="A24" s="20" t="str">
        <x:v>Synthetic data • Educational portfolio project • Not financial, legal, accounting or lending advice</x:v>
      </x:c>
      <x:c r="B24" s="20"/>
      <x:c r="C24" s="20"/>
      <x:c r="D24" s="20"/>
      <x:c r="E24" s="20"/>
      <x:c r="F24" s="20"/>
      <x:c r="G24" s="20"/>
      <x:c r="H24" s="20"/>
    </x:row>
  </x:sheetData>
  <x:mergeCells>
    <x:mergeCell ref="A1:H3"/>
    <x:mergeCell ref="A5:H6"/>
    <x:mergeCell ref="A17:H17"/>
    <x:mergeCell ref="B18:H18"/>
    <x:mergeCell ref="B19:H19"/>
    <x:mergeCell ref="B20:H20"/>
    <x:mergeCell ref="B21:H21"/>
    <x:mergeCell ref="B22:H22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22" t="str">
        <x:v>Executive credit risk control tower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34" customHeight="1">
      <x:c r="A2" s="25" t="str">
        <x:v>Actual metrics from the deterministic OOT portfolio; policy KPIs link to the formula-driven simulator.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4">
      <x:c r="A4" s="58" t="str">
        <x:v>OOT ROC AUC</x:v>
      </x:c>
      <x:c r="B4" s="62"/>
      <x:c r="C4" s="53"/>
      <x:c r="D4" s="58" t="str">
        <x:v>OOT Gini</x:v>
      </x:c>
      <x:c r="E4" s="62"/>
      <x:c r="F4" s="53"/>
      <x:c r="G4" s="58" t="str">
        <x:v>Approval recommendation</x:v>
      </x:c>
      <x:c r="H4" s="62"/>
      <x:c r="I4" s="53"/>
      <x:c r="J4" s="58" t="str">
        <x:v>Human review</x:v>
      </x:c>
      <x:c r="K4" s="62"/>
      <x:c r="L4" s="53"/>
    </x:row>
    <x:row r="5">
      <x:c r="A5" s="82" t="n">
        <x:f>'Model Comparison'!B9</x:f>
        <x:v>0.737634572625172</x:v>
      </x:c>
      <x:c r="B5" s="5"/>
      <x:c r="C5" s="55"/>
      <x:c r="D5" s="82" t="n">
        <x:f>'Model Comparison'!C9</x:f>
        <x:v>0.4752691452503439</x:v>
      </x:c>
      <x:c r="E5" s="5"/>
      <x:c r="F5" s="55"/>
      <x:c r="G5" s="61" t="n">
        <x:f>'Policy Simulator'!A5</x:f>
        <x:v>0.416</x:v>
      </x:c>
      <x:c r="H5" s="5"/>
      <x:c r="I5" s="55"/>
      <x:c r="J5" s="61" t="n">
        <x:f>'Policy Simulator'!C5</x:f>
        <x:v>0.584</x:v>
      </x:c>
      <x:c r="K5" s="5"/>
      <x:c r="L5" s="55"/>
    </x:row>
    <x:row r="6">
      <x:c r="A6" s="56"/>
      <x:c r="B6" s="63"/>
      <x:c r="C6" s="57"/>
      <x:c r="D6" s="56"/>
      <x:c r="E6" s="63"/>
      <x:c r="F6" s="57"/>
      <x:c r="G6" s="56"/>
      <x:c r="H6" s="63"/>
      <x:c r="I6" s="57"/>
      <x:c r="J6" s="56"/>
      <x:c r="K6" s="63"/>
      <x:c r="L6" s="57"/>
    </x:row>
    <x:row r="8">
      <x:c r="A8" s="58" t="str">
        <x:v>OOT default rate</x:v>
      </x:c>
      <x:c r="B8" s="62"/>
      <x:c r="C8" s="53"/>
      <x:c r="D8" s="58" t="str">
        <x:v>OOT Brier</x:v>
      </x:c>
      <x:c r="E8" s="62"/>
      <x:c r="F8" s="53"/>
      <x:c r="G8" s="58" t="str">
        <x:v>Max monthly PSI</x:v>
      </x:c>
      <x:c r="H8" s="62"/>
      <x:c r="I8" s="53"/>
      <x:c r="J8" s="58" t="str">
        <x:v>SHAP additivity error</x:v>
      </x:c>
      <x:c r="K8" s="62"/>
      <x:c r="L8" s="53"/>
    </x:row>
    <x:row r="9">
      <x:c r="A9" s="61" t="n">
        <x:v>0.18831330294239537</x:v>
      </x:c>
      <x:c r="B9" s="5"/>
      <x:c r="C9" s="55"/>
      <x:c r="D9" s="82" t="n">
        <x:v>0.13446153064887928</x:v>
      </x:c>
      <x:c r="E9" s="5"/>
      <x:c r="F9" s="55"/>
      <x:c r="G9" s="82" t="n">
        <x:v>0.01668802723286052</x:v>
      </x:c>
      <x:c r="H9" s="5"/>
      <x:c r="I9" s="55"/>
      <x:c r="J9" s="84" t="n">
        <x:v>2.6645352591003757e-15</x:v>
      </x:c>
      <x:c r="K9" s="5"/>
      <x:c r="L9" s="55"/>
    </x:row>
    <x:row r="10">
      <x:c r="A10" s="56"/>
      <x:c r="B10" s="63"/>
      <x:c r="C10" s="57"/>
      <x:c r="D10" s="56"/>
      <x:c r="E10" s="63"/>
      <x:c r="F10" s="57"/>
      <x:c r="G10" s="56"/>
      <x:c r="H10" s="63"/>
      <x:c r="I10" s="57"/>
      <x:c r="J10" s="56"/>
      <x:c r="K10" s="63"/>
      <x:c r="L10" s="57"/>
    </x:row>
    <x:row r="12">
      <x:c r="A12" s="19" t="str">
        <x:v>Executive interpretation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</x:row>
    <x:row r="13" ht="28" customHeight="1">
      <x:c r="A13" s="34" t="str">
        <x:v>Finding</x:v>
      </x:c>
      <x:c r="B13" s="35" t="str">
        <x:v>Evidence</x:v>
      </x:c>
      <x:c r="C13" s="35" t="str">
        <x:v>Management implication</x:v>
      </x:c>
      <x:c r="D13" s="35"/>
      <x:c r="E13" s="35"/>
      <x:c r="F13" s="35"/>
      <x:c r="G13" s="35"/>
      <x:c r="H13" s="35"/>
      <x:c r="I13" s="35"/>
      <x:c r="J13" s="35"/>
      <x:c r="K13" s="35"/>
      <x:c r="L13" s="36"/>
    </x:row>
    <x:row r="14" ht="34" customHeight="1">
      <x:c r="A14" s="85" t="str">
        <x:v>Discrimination</x:v>
      </x:c>
      <x:c r="B14" s="85" t="str">
        <x:v>OOT AUC 0.738; Gini 0.475</x:v>
      </x:c>
      <x:c r="C14" s="85" t="str">
        <x:v>Meets the project gate; independent validation remains required.</x:v>
      </x:c>
      <x:c r="D14" s="85"/>
      <x:c r="E14" s="85"/>
      <x:c r="F14" s="85"/>
      <x:c r="G14" s="85"/>
      <x:c r="H14" s="85"/>
      <x:c r="I14" s="85"/>
      <x:c r="J14" s="85"/>
      <x:c r="K14" s="85"/>
      <x:c r="L14" s="85"/>
    </x:row>
    <x:row r="15" ht="34" customHeight="1">
      <x:c r="A15" s="86" t="str">
        <x:v>Calibration</x:v>
      </x:c>
      <x:c r="B15" s="86" t="str">
        <x:v>Slope 0.981; Brier 0.134</x:v>
      </x:c>
      <x:c r="C15" s="86" t="str">
        <x:v>PDs are fit for this synthetic sample; monitor drift before policy use.</x:v>
      </x:c>
      <x:c r="D15" s="86"/>
      <x:c r="E15" s="86"/>
      <x:c r="F15" s="86"/>
      <x:c r="G15" s="86"/>
      <x:c r="H15" s="86"/>
      <x:c r="I15" s="86"/>
      <x:c r="J15" s="86"/>
      <x:c r="K15" s="86"/>
      <x:c r="L15" s="86"/>
    </x:row>
    <x:row r="16" ht="34" customHeight="1">
      <x:c r="A16" s="86" t="str">
        <x:v>Fairness</x:v>
      </x:c>
      <x:c r="B16" s="86" t="str">
        <x:v>Maximum DP difference 0.4%</x:v>
      </x:c>
      <x:c r="C16" s="86" t="str">
        <x:v>Age-band allocation signal requires investigation and governance review.</x:v>
      </x:c>
      <x:c r="D16" s="86"/>
      <x:c r="E16" s="86"/>
      <x:c r="F16" s="86"/>
      <x:c r="G16" s="86"/>
      <x:c r="H16" s="86"/>
      <x:c r="I16" s="86"/>
      <x:c r="J16" s="86"/>
      <x:c r="K16" s="86"/>
      <x:c r="L16" s="86"/>
    </x:row>
    <x:row r="17" ht="34" customHeight="1">
      <x:c r="A17" s="87" t="str">
        <x:v>Scope</x:v>
      </x:c>
      <x:c r="B17" s="87" t="str">
        <x:v>Synthetic, recommendation-only</x:v>
      </x:c>
      <x:c r="C17" s="87" t="str">
        <x:v>No production decision, pricing, limit assignment or adverse action.</x:v>
      </x:c>
      <x:c r="D17" s="87"/>
      <x:c r="E17" s="87"/>
      <x:c r="F17" s="87"/>
      <x:c r="G17" s="87"/>
      <x:c r="H17" s="87"/>
      <x:c r="I17" s="87"/>
      <x:c r="J17" s="87"/>
      <x:c r="K17" s="87"/>
      <x:c r="L17" s="87"/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L12"/>
    <x:mergeCell ref="C13:L13"/>
    <x:mergeCell ref="C14:L14"/>
    <x:mergeCell ref="C15:L15"/>
    <x:mergeCell ref="C16:L16"/>
    <x:mergeCell ref="C17:L17"/>
  </x:mergeCells>
  <x:pageMargins left="0.7" right="0.7" top="0.75" bottom="0.75" header="0.3" footer="0.3"/>
  <x:legacyDrawing xmlns:r="http://schemas.openxmlformats.org/officeDocument/2006/relationships" r:id="Rbac1fb63164a493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4" hidden="0" customWidth="1"/>
    <x:col min="5" max="5" width="28" hidden="0" customWidth="1"/>
    <x:col min="6" max="6" width="15" hidden="0" customWidth="1"/>
    <x:col min="7" max="7" width="18" hidden="0" customWidth="1"/>
    <x:col min="8" max="8" width="11" hidden="0" customWidth="1"/>
    <x:col min="9" max="9" width="12" hidden="0" customWidth="1"/>
  </x:cols>
  <x:sheetData>
    <x:row r="1" ht="34" customHeight="1">
      <x:c r="A1" s="22" t="str">
        <x:v>Policy simulator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25" t="str">
        <x:v>Edit policy thresholds on Assumptions. Decisions and expected loss below recalculate with formulas.</x:v>
      </x:c>
      <x:c r="B2" s="25"/>
      <x:c r="C2" s="25"/>
      <x:c r="D2" s="25"/>
      <x:c r="E2" s="25"/>
      <x:c r="F2" s="25"/>
      <x:c r="G2" s="25"/>
      <x:c r="H2" s="25"/>
      <x:c r="I2" s="25"/>
    </x:row>
    <x:row r="4">
      <x:c r="A4" s="58" t="str">
        <x:v>Approve recommendation rate</x:v>
      </x:c>
      <x:c r="B4" s="53"/>
      <x:c r="C4" s="58" t="str">
        <x:v>Human review rate</x:v>
      </x:c>
      <x:c r="D4" s="53"/>
      <x:c r="E4" s="58" t="str">
        <x:v>Approved observed DR</x:v>
      </x:c>
      <x:c r="F4" s="53"/>
      <x:c r="G4" s="58" t="str">
        <x:v>Illustrative expected loss</x:v>
      </x:c>
      <x:c r="H4" s="62"/>
      <x:c r="I4" s="53"/>
    </x:row>
    <x:row r="5">
      <x:c r="A5" s="61" t="n">
        <x:f>COUNTIF($E$11:$E$260,"APPROVE_RECOMMENDATION")/COUNTA($A$11:$A$260)</x:f>
        <x:v>0.416</x:v>
      </x:c>
      <x:c r="B5" s="55"/>
      <x:c r="C5" s="61" t="n">
        <x:f>COUNTIF($F$11:$F$260,"YES")/COUNTA($A$11:$A$260)</x:f>
        <x:v>0.584</x:v>
      </x:c>
      <x:c r="D5" s="55"/>
      <x:c r="E5" s="61" t="n">
        <x:f>IFERROR(AVERAGEIF($E$11:$E$260,"APPROVE_RECOMMENDATION",$D$11:$D$260),0)</x:f>
        <x:v>0.057692307692307696</x:v>
      </x:c>
      <x:c r="F5" s="55"/>
      <x:c r="G5" s="65" t="n">
        <x:f>SUM($G$11:$G$260)</x:f>
        <x:v>914443.9077602904</x:v>
      </x:c>
      <x:c r="H5" s="5"/>
      <x:c r="I5" s="55"/>
    </x:row>
    <x:row r="6">
      <x:c r="A6" s="56"/>
      <x:c r="B6" s="57"/>
      <x:c r="C6" s="56"/>
      <x:c r="D6" s="57"/>
      <x:c r="E6" s="56"/>
      <x:c r="F6" s="57"/>
      <x:c r="G6" s="56"/>
      <x:c r="H6" s="63"/>
      <x:c r="I6" s="57"/>
    </x:row>
    <x:row r="10" ht="28" customHeight="1">
      <x:c r="A10" s="34" t="str">
        <x:v>Application ID</x:v>
      </x:c>
      <x:c r="B10" s="35" t="str">
        <x:v>Predicted PD</x:v>
      </x:c>
      <x:c r="C10" s="35" t="str">
        <x:v>Requested Amount</x:v>
      </x:c>
      <x:c r="D10" s="35" t="str">
        <x:v>Actual Default</x:v>
      </x:c>
      <x:c r="E10" s="35" t="str">
        <x:v>Formula Decision</x:v>
      </x:c>
      <x:c r="F10" s="35" t="str">
        <x:v>Human Review</x:v>
      </x:c>
      <x:c r="G10" s="35" t="str">
        <x:v>Expected Loss</x:v>
      </x:c>
      <x:c r="H10" s="35" t="str">
        <x:v>Risk Band</x:v>
      </x:c>
      <x:c r="I10" s="36" t="str">
        <x:v>Credit Score</x:v>
      </x:c>
    </x:row>
    <x:row r="11">
      <x:c r="A11" s="13" t="str">
        <x:v>APP-0002419</x:v>
      </x:c>
      <x:c r="B11" s="66" t="n">
        <x:v>0.2948587227019769</x:v>
      </x:c>
      <x:c r="C11" s="69" t="n">
        <x:v>13666.26</x:v>
      </x:c>
      <x:c r="D11" s="72" t="n">
        <x:v>0</x:v>
      </x:c>
      <x:c r="E11" s="75" t="str">
        <x:f>IF(B11&lt;Assumptions!$B$6,"APPROVE_RECOMMENDATION",IF(B11&lt;Assumptions!$B$7,"REFER","DECLINE_RECOMMENDATION"))</x:f>
        <x:v>DECLINE_RECOMMENDATION</x:v>
      </x:c>
      <x:c r="F11" s="75" t="str">
        <x:f>IF(E11="APPROVE_RECOMMENDATION","NO","YES")</x:f>
        <x:v>YES</x:v>
      </x:c>
      <x:c r="G11" s="76" t="n">
        <x:f>B11*Assumptions!$B$8*C11</x:f>
        <x:v>1813.3271854709035</x:v>
      </x:c>
      <x:c r="H11" s="13" t="str">
        <x:v>F</x:v>
      </x:c>
      <x:c r="I11" s="72" t="n">
        <x:v>554</x:v>
      </x:c>
    </x:row>
    <x:row r="12">
      <x:c r="A12" s="14" t="str">
        <x:v>APP-0004263</x:v>
      </x:c>
      <x:c r="B12" s="67" t="n">
        <x:v>0.3136206591291993</x:v>
      </x:c>
      <x:c r="C12" s="70" t="n">
        <x:v>33588.42</x:v>
      </x:c>
      <x:c r="D12" s="73" t="n">
        <x:v>0</x:v>
      </x:c>
      <x:c r="E12" s="77" t="str">
        <x:f>IF(B12&lt;Assumptions!$B$6,"APPROVE_RECOMMENDATION",IF(B12&lt;Assumptions!$B$7,"REFER","DECLINE_RECOMMENDATION"))</x:f>
        <x:v>DECLINE_RECOMMENDATION</x:v>
      </x:c>
      <x:c r="F12" s="77" t="str">
        <x:f>IF(E12="APPROVE_RECOMMENDATION","NO","YES")</x:f>
        <x:v>YES</x:v>
      </x:c>
      <x:c r="G12" s="78" t="n">
        <x:f>B12*Assumptions!$B$8*C12</x:f>
        <x:v>4740.310088778771</x:v>
      </x:c>
      <x:c r="H12" s="14" t="str">
        <x:v>F</x:v>
      </x:c>
      <x:c r="I12" s="73" t="n">
        <x:v>548</x:v>
      </x:c>
    </x:row>
    <x:row r="13">
      <x:c r="A13" s="14" t="str">
        <x:v>APP-0004504</x:v>
      </x:c>
      <x:c r="B13" s="67" t="n">
        <x:v>0.3547777409110377</x:v>
      </x:c>
      <x:c r="C13" s="70" t="n">
        <x:v>21408.59</x:v>
      </x:c>
      <x:c r="D13" s="73" t="n">
        <x:v>0</x:v>
      </x:c>
      <x:c r="E13" s="77" t="str">
        <x:f>IF(B13&lt;Assumptions!$B$6,"APPROVE_RECOMMENDATION",IF(B13&lt;Assumptions!$B$7,"REFER","DECLINE_RECOMMENDATION"))</x:f>
        <x:v>DECLINE_RECOMMENDATION</x:v>
      </x:c>
      <x:c r="F13" s="77" t="str">
        <x:f>IF(E13="APPROVE_RECOMMENDATION","NO","YES")</x:f>
        <x:v>YES</x:v>
      </x:c>
      <x:c r="G13" s="78" t="n">
        <x:f>B13*Assumptions!$B$8*C13</x:f>
        <x:v>3417.881038330785</x:v>
      </x:c>
      <x:c r="H13" s="14" t="str">
        <x:v>F</x:v>
      </x:c>
      <x:c r="I13" s="73" t="n">
        <x:v>535</x:v>
      </x:c>
    </x:row>
    <x:row r="14">
      <x:c r="A14" s="14" t="str">
        <x:v>APP-0006780</x:v>
      </x:c>
      <x:c r="B14" s="67" t="n">
        <x:v>0.23365072031546943</x:v>
      </x:c>
      <x:c r="C14" s="70" t="n">
        <x:v>13986.7</x:v>
      </x:c>
      <x:c r="D14" s="73" t="n">
        <x:v>0</x:v>
      </x:c>
      <x:c r="E14" s="77" t="str">
        <x:f>IF(B14&lt;Assumptions!$B$6,"APPROVE_RECOMMENDATION",IF(B14&lt;Assumptions!$B$7,"REFER","DECLINE_RECOMMENDATION"))</x:f>
        <x:v>DECLINE_RECOMMENDATION</x:v>
      </x:c>
      <x:c r="F14" s="77" t="str">
        <x:f>IF(E14="APPROVE_RECOMMENDATION","NO","YES")</x:f>
        <x:v>YES</x:v>
      </x:c>
      <x:c r="G14" s="78" t="n">
        <x:f>B14*Assumptions!$B$8*C14</x:f>
        <x:v>1470.6011384263695</x:v>
      </x:c>
      <x:c r="H14" s="14" t="str">
        <x:v>F</x:v>
      </x:c>
      <x:c r="I14" s="73" t="n">
        <x:v>577</x:v>
      </x:c>
    </x:row>
    <x:row r="15">
      <x:c r="A15" s="14" t="str">
        <x:v>APP-0007107</x:v>
      </x:c>
      <x:c r="B15" s="67" t="n">
        <x:v>0.10928216876128627</x:v>
      </x:c>
      <x:c r="C15" s="70" t="n">
        <x:v>46019.11</x:v>
      </x:c>
      <x:c r="D15" s="73" t="n">
        <x:v>0</x:v>
      </x:c>
      <x:c r="E15" s="77" t="str">
        <x:f>IF(B15&lt;Assumptions!$B$6,"APPROVE_RECOMMENDATION",IF(B15&lt;Assumptions!$B$7,"REFER","DECLINE_RECOMMENDATION"))</x:f>
        <x:v>REFER</x:v>
      </x:c>
      <x:c r="F15" s="77" t="str">
        <x:f>IF(E15="APPROVE_RECOMMENDATION","NO","YES")</x:f>
        <x:v>YES</x:v>
      </x:c>
      <x:c r="G15" s="78" t="n">
        <x:f>B15*Assumptions!$B$8*C15</x:f>
        <x:v>2263.0806653688887</x:v>
      </x:c>
      <x:c r="H15" s="14" t="str">
        <x:v>D</x:v>
      </x:c>
      <x:c r="I15" s="73" t="n">
        <x:v>643</x:v>
      </x:c>
    </x:row>
    <x:row r="16">
      <x:c r="A16" s="14" t="str">
        <x:v>APP-0007929</x:v>
      </x:c>
      <x:c r="B16" s="67" t="n">
        <x:v>0.05937755431609998</x:v>
      </x:c>
      <x:c r="C16" s="70" t="n">
        <x:v>18043.29</x:v>
      </x:c>
      <x:c r="D16" s="73" t="n">
        <x:v>0</x:v>
      </x:c>
      <x:c r="E16" s="77" t="str">
        <x:f>IF(B16&lt;Assumptions!$B$6,"APPROVE_RECOMMENDATION",IF(B16&lt;Assumptions!$B$7,"REFER","DECLINE_RECOMMENDATION"))</x:f>
        <x:v>APPROVE_RECOMMENDATION</x:v>
      </x:c>
      <x:c r="F16" s="77" t="str">
        <x:f>IF(E16="APPROVE_RECOMMENDATION","NO","YES")</x:f>
        <x:v>NO</x:v>
      </x:c>
      <x:c r="G16" s="78" t="n">
        <x:f>B16*Assumptions!$B$8*C16</x:f>
        <x:v>482.11489440726467</x:v>
      </x:c>
      <x:c r="H16" s="14" t="str">
        <x:v>B</x:v>
      </x:c>
      <x:c r="I16" s="73" t="n">
        <x:v>691</x:v>
      </x:c>
    </x:row>
    <x:row r="17">
      <x:c r="A17" s="14" t="str">
        <x:v>APP-0008524</x:v>
      </x:c>
      <x:c r="B17" s="67" t="n">
        <x:v>0.1113805377004899</x:v>
      </x:c>
      <x:c r="C17" s="70" t="n">
        <x:v>44951.83</x:v>
      </x:c>
      <x:c r="D17" s="73" t="n">
        <x:v>0</x:v>
      </x:c>
      <x:c r="E17" s="77" t="str">
        <x:f>IF(B17&lt;Assumptions!$B$6,"APPROVE_RECOMMENDATION",IF(B17&lt;Assumptions!$B$7,"REFER","DECLINE_RECOMMENDATION"))</x:f>
        <x:v>REFER</x:v>
      </x:c>
      <x:c r="F17" s="77" t="str">
        <x:f>IF(E17="APPROVE_RECOMMENDATION","NO","YES")</x:f>
        <x:v>YES</x:v>
      </x:c>
      <x:c r="G17" s="78" t="n">
        <x:f>B17*Assumptions!$B$8*C17</x:f>
        <x:v>2253.041548209456</x:v>
      </x:c>
      <x:c r="H17" s="14" t="str">
        <x:v>D</x:v>
      </x:c>
      <x:c r="I17" s="73" t="n">
        <x:v>641</x:v>
      </x:c>
    </x:row>
    <x:row r="18">
      <x:c r="A18" s="14" t="str">
        <x:v>APP-0009752</x:v>
      </x:c>
      <x:c r="B18" s="67" t="n">
        <x:v>0.06498417490355649</x:v>
      </x:c>
      <x:c r="C18" s="70" t="n">
        <x:v>28768.75</x:v>
      </x:c>
      <x:c r="D18" s="73" t="n">
        <x:v>0</x:v>
      </x:c>
      <x:c r="E18" s="77" t="str">
        <x:f>IF(B18&lt;Assumptions!$B$6,"APPROVE_RECOMMENDATION",IF(B18&lt;Assumptions!$B$7,"REFER","DECLINE_RECOMMENDATION"))</x:f>
        <x:v>APPROVE_RECOMMENDATION</x:v>
      </x:c>
      <x:c r="F18" s="77" t="str">
        <x:f>IF(E18="APPROVE_RECOMMENDATION","NO","YES")</x:f>
        <x:v>NO</x:v>
      </x:c>
      <x:c r="G18" s="78" t="n">
        <x:f>B18*Assumptions!$B$8*C18</x:f>
        <x:v>841.2810667905109</x:v>
      </x:c>
      <x:c r="H18" s="14" t="str">
        <x:v>C</x:v>
      </x:c>
      <x:c r="I18" s="73" t="n">
        <x:v>684</x:v>
      </x:c>
    </x:row>
    <x:row r="19">
      <x:c r="A19" s="14" t="str">
        <x:v>APP-0011304</x:v>
      </x:c>
      <x:c r="B19" s="67" t="n">
        <x:v>0.038039457385960096</x:v>
      </x:c>
      <x:c r="C19" s="70" t="n">
        <x:v>48115.49</x:v>
      </x:c>
      <x:c r="D19" s="73" t="n">
        <x:v>0</x:v>
      </x:c>
      <x:c r="E19" s="77" t="str">
        <x:f>IF(B19&lt;Assumptions!$B$6,"APPROVE_RECOMMENDATION",IF(B19&lt;Assumptions!$B$7,"REFER","DECLINE_RECOMMENDATION"))</x:f>
        <x:v>APPROVE_RECOMMENDATION</x:v>
      </x:c>
      <x:c r="F19" s="77" t="str">
        <x:f>IF(E19="APPROVE_RECOMMENDATION","NO","YES")</x:f>
        <x:v>NO</x:v>
      </x:c>
      <x:c r="G19" s="78" t="n">
        <x:f>B19*Assumptions!$B$8*C19</x:f>
        <x:v>823.6292091568151</x:v>
      </x:c>
      <x:c r="H19" s="14" t="str">
        <x:v>B</x:v>
      </x:c>
      <x:c r="I19" s="73" t="n">
        <x:v>725</x:v>
      </x:c>
    </x:row>
    <x:row r="20">
      <x:c r="A20" s="14" t="str">
        <x:v>APP-0011587</x:v>
      </x:c>
      <x:c r="B20" s="67" t="n">
        <x:v>0.19009530531146185</x:v>
      </x:c>
      <x:c r="C20" s="70" t="n">
        <x:v>41933.88</x:v>
      </x:c>
      <x:c r="D20" s="73" t="n">
        <x:v>1</x:v>
      </x:c>
      <x:c r="E20" s="77" t="str">
        <x:f>IF(B20&lt;Assumptions!$B$6,"APPROVE_RECOMMENDATION",IF(B20&lt;Assumptions!$B$7,"REFER","DECLINE_RECOMMENDATION"))</x:f>
        <x:v>REFER</x:v>
      </x:c>
      <x:c r="F20" s="77" t="str">
        <x:f>IF(E20="APPROVE_RECOMMENDATION","NO","YES")</x:f>
        <x:v>YES</x:v>
      </x:c>
      <x:c r="G20" s="78" t="n">
        <x:f>B20*Assumptions!$B$8*C20</x:f>
        <x:v>3587.1451746723915</x:v>
      </x:c>
      <x:c r="H20" s="14" t="str">
        <x:v>E</x:v>
      </x:c>
      <x:c r="I20" s="73" t="n">
        <x:v>596</x:v>
      </x:c>
    </x:row>
    <x:row r="21">
      <x:c r="A21" s="14" t="str">
        <x:v>APP-0011613</x:v>
      </x:c>
      <x:c r="B21" s="67" t="n">
        <x:v>0.07127731762242336</x:v>
      </x:c>
      <x:c r="C21" s="70" t="n">
        <x:v>43777.92</x:v>
      </x:c>
      <x:c r="D21" s="73" t="n">
        <x:v>0</x:v>
      </x:c>
      <x:c r="E21" s="77" t="str">
        <x:f>IF(B21&lt;Assumptions!$B$6,"APPROVE_RECOMMENDATION",IF(B21&lt;Assumptions!$B$7,"REFER","DECLINE_RECOMMENDATION"))</x:f>
        <x:v>APPROVE_RECOMMENDATION</x:v>
      </x:c>
      <x:c r="F21" s="77" t="str">
        <x:f>IF(E21="APPROVE_RECOMMENDATION","NO","YES")</x:f>
        <x:v>NO</x:v>
      </x:c>
      <x:c r="G21" s="78" t="n">
        <x:f>B21*Assumptions!$B$8*C21</x:f>
        <x:v>1404.1677189100678</x:v>
      </x:c>
      <x:c r="H21" s="14" t="str">
        <x:v>C</x:v>
      </x:c>
      <x:c r="I21" s="73" t="n">
        <x:v>677</x:v>
      </x:c>
    </x:row>
    <x:row r="22">
      <x:c r="A22" s="14" t="str">
        <x:v>APP-0012577</x:v>
      </x:c>
      <x:c r="B22" s="67" t="n">
        <x:v>0.030718301890295036</x:v>
      </x:c>
      <x:c r="C22" s="70" t="n">
        <x:v>61274.49</x:v>
      </x:c>
      <x:c r="D22" s="73" t="n">
        <x:v>0</x:v>
      </x:c>
      <x:c r="E22" s="77" t="str">
        <x:f>IF(B22&lt;Assumptions!$B$6,"APPROVE_RECOMMENDATION",IF(B22&lt;Assumptions!$B$7,"REFER","DECLINE_RECOMMENDATION"))</x:f>
        <x:v>APPROVE_RECOMMENDATION</x:v>
      </x:c>
      <x:c r="F22" s="77" t="str">
        <x:f>IF(E22="APPROVE_RECOMMENDATION","NO","YES")</x:f>
        <x:v>NO</x:v>
      </x:c>
      <x:c r="G22" s="78" t="n">
        <x:f>B22*Assumptions!$B$8*C22</x:f>
        <x:v>847.011726897239</x:v>
      </x:c>
      <x:c r="H22" s="14" t="str">
        <x:v>B</x:v>
      </x:c>
      <x:c r="I22" s="73" t="n">
        <x:v>740</x:v>
      </x:c>
    </x:row>
    <x:row r="23">
      <x:c r="A23" s="14" t="str">
        <x:v>APP-0012722</x:v>
      </x:c>
      <x:c r="B23" s="67" t="n">
        <x:v>0.17422019777733488</x:v>
      </x:c>
      <x:c r="C23" s="70" t="n">
        <x:v>83914.5</x:v>
      </x:c>
      <x:c r="D23" s="73" t="n">
        <x:v>0</x:v>
      </x:c>
      <x:c r="E23" s="77" t="str">
        <x:f>IF(B23&lt;Assumptions!$B$6,"APPROVE_RECOMMENDATION",IF(B23&lt;Assumptions!$B$7,"REFER","DECLINE_RECOMMENDATION"))</x:f>
        <x:v>REFER</x:v>
      </x:c>
      <x:c r="F23" s="77" t="str">
        <x:f>IF(E23="APPROVE_RECOMMENDATION","NO","YES")</x:f>
        <x:v>YES</x:v>
      </x:c>
      <x:c r="G23" s="78" t="n">
        <x:f>B23*Assumptions!$B$8*C23</x:f>
        <x:v>6578.820353873776</x:v>
      </x:c>
      <x:c r="H23" s="14" t="str">
        <x:v>E</x:v>
      </x:c>
      <x:c r="I23" s="73" t="n">
        <x:v>604</x:v>
      </x:c>
    </x:row>
    <x:row r="24">
      <x:c r="A24" s="14" t="str">
        <x:v>APP-0012811</x:v>
      </x:c>
      <x:c r="B24" s="67" t="n">
        <x:v>0.1711238912374371</x:v>
      </x:c>
      <x:c r="C24" s="70" t="n">
        <x:v>111421.01</x:v>
      </x:c>
      <x:c r="D24" s="73" t="n">
        <x:v>0</x:v>
      </x:c>
      <x:c r="E24" s="77" t="str">
        <x:f>IF(B24&lt;Assumptions!$B$6,"APPROVE_RECOMMENDATION",IF(B24&lt;Assumptions!$B$7,"REFER","DECLINE_RECOMMENDATION"))</x:f>
        <x:v>REFER</x:v>
      </x:c>
      <x:c r="F24" s="77" t="str">
        <x:f>IF(E24="APPROVE_RECOMMENDATION","NO","YES")</x:f>
        <x:v>YES</x:v>
      </x:c>
      <x:c r="G24" s="78" t="n">
        <x:f>B24*Assumptions!$B$8*C24</x:f>
        <x:v>8580.058558562425</x:v>
      </x:c>
      <x:c r="H24" s="14" t="str">
        <x:v>E</x:v>
      </x:c>
      <x:c r="I24" s="73" t="n">
        <x:v>605</x:v>
      </x:c>
    </x:row>
    <x:row r="25">
      <x:c r="A25" s="14" t="str">
        <x:v>APP-0015661</x:v>
      </x:c>
      <x:c r="B25" s="67" t="n">
        <x:v>0.5219547354930099</x:v>
      </x:c>
      <x:c r="C25" s="70" t="n">
        <x:v>77974.16</x:v>
      </x:c>
      <x:c r="D25" s="73" t="n">
        <x:v>1</x:v>
      </x:c>
      <x:c r="E25" s="77" t="str">
        <x:f>IF(B25&lt;Assumptions!$B$6,"APPROVE_RECOMMENDATION",IF(B25&lt;Assumptions!$B$7,"REFER","DECLINE_RECOMMENDATION"))</x:f>
        <x:v>DECLINE_RECOMMENDATION</x:v>
      </x:c>
      <x:c r="F25" s="77" t="str">
        <x:f>IF(E25="APPROVE_RECOMMENDATION","NO","YES")</x:f>
        <x:v>YES</x:v>
      </x:c>
      <x:c r="G25" s="78" t="n">
        <x:f>B25*Assumptions!$B$8*C25</x:f>
        <x:v>18314.541926140333</x:v>
      </x:c>
      <x:c r="H25" s="14" t="str">
        <x:v>F</x:v>
      </x:c>
      <x:c r="I25" s="73" t="n">
        <x:v>485</x:v>
      </x:c>
    </x:row>
    <x:row r="26">
      <x:c r="A26" s="14" t="str">
        <x:v>APP-0016575</x:v>
      </x:c>
      <x:c r="B26" s="67" t="n">
        <x:v>0.02339938854103125</x:v>
      </x:c>
      <x:c r="C26" s="70" t="n">
        <x:v>34326</x:v>
      </x:c>
      <x:c r="D26" s="73" t="n">
        <x:v>1</x:v>
      </x:c>
      <x:c r="E26" s="77" t="str">
        <x:f>IF(B26&lt;Assumptions!$B$6,"APPROVE_RECOMMENDATION",IF(B26&lt;Assumptions!$B$7,"REFER","DECLINE_RECOMMENDATION"))</x:f>
        <x:v>APPROVE_RECOMMENDATION</x:v>
      </x:c>
      <x:c r="F26" s="77" t="str">
        <x:f>IF(E26="APPROVE_RECOMMENDATION","NO","YES")</x:f>
        <x:v>NO</x:v>
      </x:c>
      <x:c r="G26" s="78" t="n">
        <x:f>B26*Assumptions!$B$8*C26</x:f>
        <x:v>361.44333497674745</x:v>
      </x:c>
      <x:c r="H26" s="14" t="str">
        <x:v>A</x:v>
      </x:c>
      <x:c r="I26" s="73" t="n">
        <x:v>761</x:v>
      </x:c>
    </x:row>
    <x:row r="27">
      <x:c r="A27" s="14" t="str">
        <x:v>APP-0020158</x:v>
      </x:c>
      <x:c r="B27" s="67" t="n">
        <x:v>0.08258938595060704</x:v>
      </x:c>
      <x:c r="C27" s="70" t="n">
        <x:v>18564.95</x:v>
      </x:c>
      <x:c r="D27" s="73" t="n">
        <x:v>0</x:v>
      </x:c>
      <x:c r="E27" s="77" t="str">
        <x:f>IF(B27&lt;Assumptions!$B$6,"APPROVE_RECOMMENDATION",IF(B27&lt;Assumptions!$B$7,"REFER","DECLINE_RECOMMENDATION"))</x:f>
        <x:v>APPROVE_RECOMMENDATION</x:v>
      </x:c>
      <x:c r="F27" s="77" t="str">
        <x:f>IF(E27="APPROVE_RECOMMENDATION","NO","YES")</x:f>
        <x:v>NO</x:v>
      </x:c>
      <x:c r="G27" s="78" t="n">
        <x:f>B27*Assumptions!$B$8*C27</x:f>
        <x:v>689.970519316675</x:v>
      </x:c>
      <x:c r="H27" s="14" t="str">
        <x:v>C</x:v>
      </x:c>
      <x:c r="I27" s="73" t="n">
        <x:v>665</x:v>
      </x:c>
    </x:row>
    <x:row r="28">
      <x:c r="A28" s="14" t="str">
        <x:v>APP-0024516</x:v>
      </x:c>
      <x:c r="B28" s="67" t="n">
        <x:v>0.2815655227164598</x:v>
      </x:c>
      <x:c r="C28" s="70" t="n">
        <x:v>67575.09</x:v>
      </x:c>
      <x:c r="D28" s="73" t="n">
        <x:v>0</x:v>
      </x:c>
      <x:c r="E28" s="77" t="str">
        <x:f>IF(B28&lt;Assumptions!$B$6,"APPROVE_RECOMMENDATION",IF(B28&lt;Assumptions!$B$7,"REFER","DECLINE_RECOMMENDATION"))</x:f>
        <x:v>DECLINE_RECOMMENDATION</x:v>
      </x:c>
      <x:c r="F28" s="77" t="str">
        <x:f>IF(E28="APPROVE_RECOMMENDATION","NO","YES")</x:f>
        <x:v>YES</x:v>
      </x:c>
      <x:c r="G28" s="78" t="n">
        <x:f>B28*Assumptions!$B$8*C28</x:f>
        <x:v>8562.066992307817</x:v>
      </x:c>
      <x:c r="H28" s="14" t="str">
        <x:v>F</x:v>
      </x:c>
      <x:c r="I28" s="73" t="n">
        <x:v>559</x:v>
      </x:c>
    </x:row>
    <x:row r="29">
      <x:c r="A29" s="14" t="str">
        <x:v>APP-0025467</x:v>
      </x:c>
      <x:c r="B29" s="67" t="n">
        <x:v>0.047596837453033024</x:v>
      </x:c>
      <x:c r="C29" s="70" t="n">
        <x:v>28144.37</x:v>
      </x:c>
      <x:c r="D29" s="73" t="n">
        <x:v>0</x:v>
      </x:c>
      <x:c r="E29" s="77" t="str">
        <x:f>IF(B29&lt;Assumptions!$B$6,"APPROVE_RECOMMENDATION",IF(B29&lt;Assumptions!$B$7,"REFER","DECLINE_RECOMMENDATION"))</x:f>
        <x:v>APPROVE_RECOMMENDATION</x:v>
      </x:c>
      <x:c r="F29" s="77" t="str">
        <x:f>IF(E29="APPROVE_RECOMMENDATION","NO","YES")</x:f>
        <x:v>NO</x:v>
      </x:c>
      <x:c r="G29" s="78" t="n">
        <x:f>B29*Assumptions!$B$8*C29</x:f>
        <x:v>602.8123518486086</x:v>
      </x:c>
      <x:c r="H29" s="14" t="str">
        <x:v>B</x:v>
      </x:c>
      <x:c r="I29" s="73" t="n">
        <x:v>708</x:v>
      </x:c>
    </x:row>
    <x:row r="30">
      <x:c r="A30" s="14" t="str">
        <x:v>APP-0027207</x:v>
      </x:c>
      <x:c r="B30" s="67" t="n">
        <x:v>0.17646568468395163</x:v>
      </x:c>
      <x:c r="C30" s="70" t="n">
        <x:v>46247.42</x:v>
      </x:c>
      <x:c r="D30" s="73" t="n">
        <x:v>0</x:v>
      </x:c>
      <x:c r="E30" s="77" t="str">
        <x:f>IF(B30&lt;Assumptions!$B$6,"APPROVE_RECOMMENDATION",IF(B30&lt;Assumptions!$B$7,"REFER","DECLINE_RECOMMENDATION"))</x:f>
        <x:v>REFER</x:v>
      </x:c>
      <x:c r="F30" s="77" t="str">
        <x:f>IF(E30="APPROVE_RECOMMENDATION","NO","YES")</x:f>
        <x:v>YES</x:v>
      </x:c>
      <x:c r="G30" s="78" t="n">
        <x:f>B30*Assumptions!$B$8*C30</x:f>
        <x:v>3672.4871858248252</x:v>
      </x:c>
      <x:c r="H30" s="14" t="str">
        <x:v>E</x:v>
      </x:c>
      <x:c r="I30" s="73" t="n">
        <x:v>603</x:v>
      </x:c>
    </x:row>
    <x:row r="31">
      <x:c r="A31" s="14" t="str">
        <x:v>APP-0031093</x:v>
      </x:c>
      <x:c r="B31" s="67" t="n">
        <x:v>0.11569558415248267</x:v>
      </x:c>
      <x:c r="C31" s="70" t="n">
        <x:v>53746</x:v>
      </x:c>
      <x:c r="D31" s="73" t="n">
        <x:v>0</x:v>
      </x:c>
      <x:c r="E31" s="77" t="str">
        <x:f>IF(B31&lt;Assumptions!$B$6,"APPROVE_RECOMMENDATION",IF(B31&lt;Assumptions!$B$7,"REFER","DECLINE_RECOMMENDATION"))</x:f>
        <x:v>REFER</x:v>
      </x:c>
      <x:c r="F31" s="77" t="str">
        <x:f>IF(E31="APPROVE_RECOMMENDATION","NO","YES")</x:f>
        <x:v>YES</x:v>
      </x:c>
      <x:c r="G31" s="78" t="n">
        <x:f>B31*Assumptions!$B$8*C31</x:f>
        <x:v>2798.1786896367003</x:v>
      </x:c>
      <x:c r="H31" s="14" t="str">
        <x:v>D</x:v>
      </x:c>
      <x:c r="I31" s="73" t="n">
        <x:v>638</x:v>
      </x:c>
    </x:row>
    <x:row r="32">
      <x:c r="A32" s="14" t="str">
        <x:v>APP-0033646</x:v>
      </x:c>
      <x:c r="B32" s="67" t="n">
        <x:v>0.19705418431690866</x:v>
      </x:c>
      <x:c r="C32" s="70" t="n">
        <x:v>33958.11</x:v>
      </x:c>
      <x:c r="D32" s="73" t="n">
        <x:v>0</x:v>
      </x:c>
      <x:c r="E32" s="77" t="str">
        <x:f>IF(B32&lt;Assumptions!$B$6,"APPROVE_RECOMMENDATION",IF(B32&lt;Assumptions!$B$7,"REFER","DECLINE_RECOMMENDATION"))</x:f>
        <x:v>REFER</x:v>
      </x:c>
      <x:c r="F32" s="77" t="str">
        <x:f>IF(E32="APPROVE_RECOMMENDATION","NO","YES")</x:f>
        <x:v>YES</x:v>
      </x:c>
      <x:c r="G32" s="78" t="n">
        <x:f>B32*Assumptions!$B$8*C32</x:f>
        <x:v>3011.2144501472367</x:v>
      </x:c>
      <x:c r="H32" s="14" t="str">
        <x:v>E</x:v>
      </x:c>
      <x:c r="I32" s="73" t="n">
        <x:v>593</x:v>
      </x:c>
    </x:row>
    <x:row r="33">
      <x:c r="A33" s="14" t="str">
        <x:v>APP-0035330</x:v>
      </x:c>
      <x:c r="B33" s="67" t="n">
        <x:v>0.10016853413133686</x:v>
      </x:c>
      <x:c r="C33" s="70" t="n">
        <x:v>13539.36</x:v>
      </x:c>
      <x:c r="D33" s="73" t="n">
        <x:v>0</x:v>
      </x:c>
      <x:c r="E33" s="77" t="str">
        <x:f>IF(B33&lt;Assumptions!$B$6,"APPROVE_RECOMMENDATION",IF(B33&lt;Assumptions!$B$7,"REFER","DECLINE_RECOMMENDATION"))</x:f>
        <x:v>REFER</x:v>
      </x:c>
      <x:c r="F33" s="77" t="str">
        <x:f>IF(E33="APPROVE_RECOMMENDATION","NO","YES")</x:f>
        <x:v>YES</x:v>
      </x:c>
      <x:c r="G33" s="78" t="n">
        <x:f>B33*Assumptions!$B$8*C33</x:f>
        <x:v>610.2980299244057</x:v>
      </x:c>
      <x:c r="H33" s="14" t="str">
        <x:v>D</x:v>
      </x:c>
      <x:c r="I33" s="73" t="n">
        <x:v>650</x:v>
      </x:c>
    </x:row>
    <x:row r="34">
      <x:c r="A34" s="14" t="str">
        <x:v>APP-0036180</x:v>
      </x:c>
      <x:c r="B34" s="67" t="n">
        <x:v>0.07974179349250757</x:v>
      </x:c>
      <x:c r="C34" s="70" t="n">
        <x:v>76652.68</x:v>
      </x:c>
      <x:c r="D34" s="73" t="n">
        <x:v>0</x:v>
      </x:c>
      <x:c r="E34" s="77" t="str">
        <x:f>IF(B34&lt;Assumptions!$B$6,"APPROVE_RECOMMENDATION",IF(B34&lt;Assumptions!$B$7,"REFER","DECLINE_RECOMMENDATION"))</x:f>
        <x:v>APPROVE_RECOMMENDATION</x:v>
      </x:c>
      <x:c r="F34" s="77" t="str">
        <x:f>IF(E34="APPROVE_RECOMMENDATION","NO","YES")</x:f>
        <x:v>NO</x:v>
      </x:c>
      <x:c r="G34" s="78" t="n">
        <x:f>B34*Assumptions!$B$8*C34</x:f>
        <x:v>2750.5899806432694</x:v>
      </x:c>
      <x:c r="H34" s="14" t="str">
        <x:v>C</x:v>
      </x:c>
      <x:c r="I34" s="73" t="n">
        <x:v>668</x:v>
      </x:c>
    </x:row>
    <x:row r="35">
      <x:c r="A35" s="14" t="str">
        <x:v>APP-0040513</x:v>
      </x:c>
      <x:c r="B35" s="67" t="n">
        <x:v>0.18984137571093018</x:v>
      </x:c>
      <x:c r="C35" s="70" t="n">
        <x:v>86740.59</x:v>
      </x:c>
      <x:c r="D35" s="73" t="n">
        <x:v>0</x:v>
      </x:c>
      <x:c r="E35" s="77" t="str">
        <x:f>IF(B35&lt;Assumptions!$B$6,"APPROVE_RECOMMENDATION",IF(B35&lt;Assumptions!$B$7,"REFER","DECLINE_RECOMMENDATION"))</x:f>
        <x:v>REFER</x:v>
      </x:c>
      <x:c r="F35" s="77" t="str">
        <x:f>IF(E35="APPROVE_RECOMMENDATION","NO","YES")</x:f>
        <x:v>YES</x:v>
      </x:c>
      <x:c r="G35" s="78" t="n">
        <x:f>B35*Assumptions!$B$8*C35</x:f>
        <x:v>7410.128821009988</x:v>
      </x:c>
      <x:c r="H35" s="14" t="str">
        <x:v>E</x:v>
      </x:c>
      <x:c r="I35" s="73" t="n">
        <x:v>596</x:v>
      </x:c>
    </x:row>
    <x:row r="36">
      <x:c r="A36" s="14" t="str">
        <x:v>APP-0042141</x:v>
      </x:c>
      <x:c r="B36" s="67" t="n">
        <x:v>0.06309951171010535</x:v>
      </x:c>
      <x:c r="C36" s="70" t="n">
        <x:v>240815.51</x:v>
      </x:c>
      <x:c r="D36" s="73" t="n">
        <x:v>0</x:v>
      </x:c>
      <x:c r="E36" s="77" t="str">
        <x:f>IF(B36&lt;Assumptions!$B$6,"APPROVE_RECOMMENDATION",IF(B36&lt;Assumptions!$B$7,"REFER","DECLINE_RECOMMENDATION"))</x:f>
        <x:v>APPROVE_RECOMMENDATION</x:v>
      </x:c>
      <x:c r="F36" s="77" t="str">
        <x:f>IF(E36="APPROVE_RECOMMENDATION","NO","YES")</x:f>
        <x:v>NO</x:v>
      </x:c>
      <x:c r="G36" s="78" t="n">
        <x:f>B36*Assumptions!$B$8*C36</x:f>
        <x:v>6837.903491948997</x:v>
      </x:c>
      <x:c r="H36" s="14" t="str">
        <x:v>C</x:v>
      </x:c>
      <x:c r="I36" s="73" t="n">
        <x:v>686</x:v>
      </x:c>
    </x:row>
    <x:row r="37">
      <x:c r="A37" s="14" t="str">
        <x:v>APP-0043484</x:v>
      </x:c>
      <x:c r="B37" s="67" t="n">
        <x:v>0.3212766800452433</x:v>
      </x:c>
      <x:c r="C37" s="70" t="n">
        <x:v>27279.88</x:v>
      </x:c>
      <x:c r="D37" s="73" t="n">
        <x:v>1</x:v>
      </x:c>
      <x:c r="E37" s="77" t="str">
        <x:f>IF(B37&lt;Assumptions!$B$6,"APPROVE_RECOMMENDATION",IF(B37&lt;Assumptions!$B$7,"REFER","DECLINE_RECOMMENDATION"))</x:f>
        <x:v>DECLINE_RECOMMENDATION</x:v>
      </x:c>
      <x:c r="F37" s="77" t="str">
        <x:f>IF(E37="APPROVE_RECOMMENDATION","NO","YES")</x:f>
        <x:v>YES</x:v>
      </x:c>
      <x:c r="G37" s="78" t="n">
        <x:f>B37*Assumptions!$B$8*C37</x:f>
        <x:v>3943.9751752946845</x:v>
      </x:c>
      <x:c r="H37" s="14" t="str">
        <x:v>F</x:v>
      </x:c>
      <x:c r="I37" s="73" t="n">
        <x:v>545</x:v>
      </x:c>
    </x:row>
    <x:row r="38">
      <x:c r="A38" s="14" t="str">
        <x:v>APP-0043671</x:v>
      </x:c>
      <x:c r="B38" s="67" t="n">
        <x:v>0.10042778431517144</x:v>
      </x:c>
      <x:c r="C38" s="70" t="n">
        <x:v>14480.49</x:v>
      </x:c>
      <x:c r="D38" s="73" t="n">
        <x:v>0</x:v>
      </x:c>
      <x:c r="E38" s="77" t="str">
        <x:f>IF(B38&lt;Assumptions!$B$6,"APPROVE_RECOMMENDATION",IF(B38&lt;Assumptions!$B$7,"REFER","DECLINE_RECOMMENDATION"))</x:f>
        <x:v>REFER</x:v>
      </x:c>
      <x:c r="F38" s="77" t="str">
        <x:f>IF(E38="APPROVE_RECOMMENDATION","NO","YES")</x:f>
        <x:v>YES</x:v>
      </x:c>
      <x:c r="G38" s="78" t="n">
        <x:f>B38*Assumptions!$B$8*C38</x:f>
        <x:v>654.4095869240986</x:v>
      </x:c>
      <x:c r="H38" s="14" t="str">
        <x:v>D</x:v>
      </x:c>
      <x:c r="I38" s="73" t="n">
        <x:v>650</x:v>
      </x:c>
    </x:row>
    <x:row r="39">
      <x:c r="A39" s="14" t="str">
        <x:v>APP-0045870</x:v>
      </x:c>
      <x:c r="B39" s="67" t="n">
        <x:v>0.19467695324065767</x:v>
      </x:c>
      <x:c r="C39" s="70" t="n">
        <x:v>10000</x:v>
      </x:c>
      <x:c r="D39" s="73" t="n">
        <x:v>0</x:v>
      </x:c>
      <x:c r="E39" s="77" t="str">
        <x:f>IF(B39&lt;Assumptions!$B$6,"APPROVE_RECOMMENDATION",IF(B39&lt;Assumptions!$B$7,"REFER","DECLINE_RECOMMENDATION"))</x:f>
        <x:v>REFER</x:v>
      </x:c>
      <x:c r="F39" s="77" t="str">
        <x:f>IF(E39="APPROVE_RECOMMENDATION","NO","YES")</x:f>
        <x:v>YES</x:v>
      </x:c>
      <x:c r="G39" s="78" t="n">
        <x:f>B39*Assumptions!$B$8*C39</x:f>
        <x:v>876.0462895829596</x:v>
      </x:c>
      <x:c r="H39" s="14" t="str">
        <x:v>E</x:v>
      </x:c>
      <x:c r="I39" s="73" t="n">
        <x:v>594</x:v>
      </x:c>
    </x:row>
    <x:row r="40">
      <x:c r="A40" s="14" t="str">
        <x:v>APP-0047107</x:v>
      </x:c>
      <x:c r="B40" s="67" t="n">
        <x:v>0.43202310485177664</x:v>
      </x:c>
      <x:c r="C40" s="70" t="n">
        <x:v>10000</x:v>
      </x:c>
      <x:c r="D40" s="73" t="n">
        <x:v>0</x:v>
      </x:c>
      <x:c r="E40" s="77" t="str">
        <x:f>IF(B40&lt;Assumptions!$B$6,"APPROVE_RECOMMENDATION",IF(B40&lt;Assumptions!$B$7,"REFER","DECLINE_RECOMMENDATION"))</x:f>
        <x:v>DECLINE_RECOMMENDATION</x:v>
      </x:c>
      <x:c r="F40" s="77" t="str">
        <x:f>IF(E40="APPROVE_RECOMMENDATION","NO","YES")</x:f>
        <x:v>YES</x:v>
      </x:c>
      <x:c r="G40" s="78" t="n">
        <x:f>B40*Assumptions!$B$8*C40</x:f>
        <x:v>1944.103971832995</x:v>
      </x:c>
      <x:c r="H40" s="14" t="str">
        <x:v>F</x:v>
      </x:c>
      <x:c r="I40" s="73" t="n">
        <x:v>511</x:v>
      </x:c>
    </x:row>
    <x:row r="41">
      <x:c r="A41" s="14" t="str">
        <x:v>APP-0001049</x:v>
      </x:c>
      <x:c r="B41" s="67" t="n">
        <x:v>0.13411573475863034</x:v>
      </x:c>
      <x:c r="C41" s="70" t="n">
        <x:v>42618.42</x:v>
      </x:c>
      <x:c r="D41" s="73" t="n">
        <x:v>0</x:v>
      </x:c>
      <x:c r="E41" s="77" t="str">
        <x:f>IF(B41&lt;Assumptions!$B$6,"APPROVE_RECOMMENDATION",IF(B41&lt;Assumptions!$B$7,"REFER","DECLINE_RECOMMENDATION"))</x:f>
        <x:v>REFER</x:v>
      </x:c>
      <x:c r="F41" s="77" t="str">
        <x:f>IF(E41="APPROVE_RECOMMENDATION","NO","YES")</x:f>
        <x:v>YES</x:v>
      </x:c>
      <x:c r="G41" s="78" t="n">
        <x:f>B41*Assumptions!$B$8*C41</x:f>
        <x:v>2572.110320648358</x:v>
      </x:c>
      <x:c r="H41" s="14" t="str">
        <x:v>D</x:v>
      </x:c>
      <x:c r="I41" s="73" t="n">
        <x:v>626</x:v>
      </x:c>
    </x:row>
    <x:row r="42">
      <x:c r="A42" s="14" t="str">
        <x:v>APP-0001816</x:v>
      </x:c>
      <x:c r="B42" s="67" t="n">
        <x:v>0.0928363581491007</x:v>
      </x:c>
      <x:c r="C42" s="70" t="n">
        <x:v>23996.23</x:v>
      </x:c>
      <x:c r="D42" s="73" t="n">
        <x:v>0</x:v>
      </x:c>
      <x:c r="E42" s="77" t="str">
        <x:f>IF(B42&lt;Assumptions!$B$6,"APPROVE_RECOMMENDATION",IF(B42&lt;Assumptions!$B$7,"REFER","DECLINE_RECOMMENDATION"))</x:f>
        <x:v>APPROVE_RECOMMENDATION</x:v>
      </x:c>
      <x:c r="F42" s="77" t="str">
        <x:f>IF(E42="APPROVE_RECOMMENDATION","NO","YES")</x:f>
        <x:v>NO</x:v>
      </x:c>
      <x:c r="G42" s="78" t="n">
        <x:f>B42*Assumptions!$B$8*C42</x:f>
        <x:v>1002.4751711286876</x:v>
      </x:c>
      <x:c r="H42" s="14" t="str">
        <x:v>C</x:v>
      </x:c>
      <x:c r="I42" s="73" t="n">
        <x:v>656</x:v>
      </x:c>
    </x:row>
    <x:row r="43">
      <x:c r="A43" s="14" t="str">
        <x:v>APP-0003271</x:v>
      </x:c>
      <x:c r="B43" s="67" t="n">
        <x:v>0.05767934802159846</x:v>
      </x:c>
      <x:c r="C43" s="70" t="n">
        <x:v>21793.98</x:v>
      </x:c>
      <x:c r="D43" s="73" t="n">
        <x:v>0</x:v>
      </x:c>
      <x:c r="E43" s="77" t="str">
        <x:f>IF(B43&lt;Assumptions!$B$6,"APPROVE_RECOMMENDATION",IF(B43&lt;Assumptions!$B$7,"REFER","DECLINE_RECOMMENDATION"))</x:f>
        <x:v>APPROVE_RECOMMENDATION</x:v>
      </x:c>
      <x:c r="F43" s="77" t="str">
        <x:f>IF(E43="APPROVE_RECOMMENDATION","NO","YES")</x:f>
        <x:v>NO</x:v>
      </x:c>
      <x:c r="G43" s="78" t="n">
        <x:f>B43*Assumptions!$B$8*C43</x:f>
        <x:v>565.6781507380904</x:v>
      </x:c>
      <x:c r="H43" s="14" t="str">
        <x:v>B</x:v>
      </x:c>
      <x:c r="I43" s="73" t="n">
        <x:v>693</x:v>
      </x:c>
    </x:row>
    <x:row r="44">
      <x:c r="A44" s="14" t="str">
        <x:v>APP-0004482</x:v>
      </x:c>
      <x:c r="B44" s="67" t="n">
        <x:v>0.032449608624852</x:v>
      </x:c>
      <x:c r="C44" s="70" t="n">
        <x:v>23610.1</x:v>
      </x:c>
      <x:c r="D44" s="73" t="n">
        <x:v>0</x:v>
      </x:c>
      <x:c r="E44" s="77" t="str">
        <x:f>IF(B44&lt;Assumptions!$B$6,"APPROVE_RECOMMENDATION",IF(B44&lt;Assumptions!$B$7,"REFER","DECLINE_RECOMMENDATION"))</x:f>
        <x:v>APPROVE_RECOMMENDATION</x:v>
      </x:c>
      <x:c r="F44" s="77" t="str">
        <x:f>IF(E44="APPROVE_RECOMMENDATION","NO","YES")</x:f>
        <x:v>NO</x:v>
      </x:c>
      <x:c r="G44" s="78" t="n">
        <x:f>B44*Assumptions!$B$8*C44</x:f>
        <x:v>344.7623270671282</x:v>
      </x:c>
      <x:c r="H44" s="14" t="str">
        <x:v>B</x:v>
      </x:c>
      <x:c r="I44" s="73" t="n">
        <x:v>736</x:v>
      </x:c>
    </x:row>
    <x:row r="45">
      <x:c r="A45" s="14" t="str">
        <x:v>APP-0005539</x:v>
      </x:c>
      <x:c r="B45" s="67" t="n">
        <x:v>0.17496504670897378</x:v>
      </x:c>
      <x:c r="C45" s="70" t="n">
        <x:v>27396.07</x:v>
      </x:c>
      <x:c r="D45" s="73" t="n">
        <x:v>0</x:v>
      </x:c>
      <x:c r="E45" s="77" t="str">
        <x:f>IF(B45&lt;Assumptions!$B$6,"APPROVE_RECOMMENDATION",IF(B45&lt;Assumptions!$B$7,"REFER","DECLINE_RECOMMENDATION"))</x:f>
        <x:v>REFER</x:v>
      </x:c>
      <x:c r="F45" s="77" t="str">
        <x:f>IF(E45="APPROVE_RECOMMENDATION","NO","YES")</x:f>
        <x:v>YES</x:v>
      </x:c>
      <x:c r="G45" s="78" t="n">
        <x:f>B45*Assumptions!$B$8*C45</x:f>
        <x:v>2157.009600236542</x:v>
      </x:c>
      <x:c r="H45" s="14" t="str">
        <x:v>E</x:v>
      </x:c>
      <x:c r="I45" s="73" t="n">
        <x:v>603</x:v>
      </x:c>
    </x:row>
    <x:row r="46">
      <x:c r="A46" s="14" t="str">
        <x:v>APP-0005546</x:v>
      </x:c>
      <x:c r="B46" s="67" t="n">
        <x:v>0.36308749384521016</x:v>
      </x:c>
      <x:c r="C46" s="70" t="n">
        <x:v>22259.31</x:v>
      </x:c>
      <x:c r="D46" s="73" t="n">
        <x:v>1</x:v>
      </x:c>
      <x:c r="E46" s="77" t="str">
        <x:f>IF(B46&lt;Assumptions!$B$6,"APPROVE_RECOMMENDATION",IF(B46&lt;Assumptions!$B$7,"REFER","DECLINE_RECOMMENDATION"))</x:f>
        <x:v>DECLINE_RECOMMENDATION</x:v>
      </x:c>
      <x:c r="F46" s="77" t="str">
        <x:f>IF(E46="APPROVE_RECOMMENDATION","NO","YES")</x:f>
        <x:v>YES</x:v>
      </x:c>
      <x:c r="G46" s="78" t="n">
        <x:f>B46*Assumptions!$B$8*C46</x:f>
        <x:v>3636.9346871806315</x:v>
      </x:c>
      <x:c r="H46" s="14" t="str">
        <x:v>F</x:v>
      </x:c>
      <x:c r="I46" s="73" t="n">
        <x:v>532</x:v>
      </x:c>
    </x:row>
    <x:row r="47">
      <x:c r="A47" s="14" t="str">
        <x:v>APP-0005935</x:v>
      </x:c>
      <x:c r="B47" s="67" t="n">
        <x:v>0.12984250610888895</x:v>
      </x:c>
      <x:c r="C47" s="70" t="n">
        <x:v>44689.58</x:v>
      </x:c>
      <x:c r="D47" s="73" t="n">
        <x:v>1</x:v>
      </x:c>
      <x:c r="E47" s="77" t="str">
        <x:f>IF(B47&lt;Assumptions!$B$6,"APPROVE_RECOMMENDATION",IF(B47&lt;Assumptions!$B$7,"REFER","DECLINE_RECOMMENDATION"))</x:f>
        <x:v>REFER</x:v>
      </x:c>
      <x:c r="F47" s="77" t="str">
        <x:f>IF(E47="APPROVE_RECOMMENDATION","NO","YES")</x:f>
        <x:v>YES</x:v>
      </x:c>
      <x:c r="G47" s="78" t="n">
        <x:f>B47*Assumptions!$B$8*C47</x:f>
        <x:v>2611.173178869157</x:v>
      </x:c>
      <x:c r="H47" s="14" t="str">
        <x:v>D</x:v>
      </x:c>
      <x:c r="I47" s="73" t="n">
        <x:v>629</x:v>
      </x:c>
    </x:row>
    <x:row r="48">
      <x:c r="A48" s="14" t="str">
        <x:v>APP-0007636</x:v>
      </x:c>
      <x:c r="B48" s="67" t="n">
        <x:v>0.12959967911190004</x:v>
      </x:c>
      <x:c r="C48" s="70" t="n">
        <x:v>10000</x:v>
      </x:c>
      <x:c r="D48" s="73" t="n">
        <x:v>0</x:v>
      </x:c>
      <x:c r="E48" s="77" t="str">
        <x:f>IF(B48&lt;Assumptions!$B$6,"APPROVE_RECOMMENDATION",IF(B48&lt;Assumptions!$B$7,"REFER","DECLINE_RECOMMENDATION"))</x:f>
        <x:v>REFER</x:v>
      </x:c>
      <x:c r="F48" s="77" t="str">
        <x:f>IF(E48="APPROVE_RECOMMENDATION","NO","YES")</x:f>
        <x:v>YES</x:v>
      </x:c>
      <x:c r="G48" s="78" t="n">
        <x:f>B48*Assumptions!$B$8*C48</x:f>
        <x:v>583.1985560035502</x:v>
      </x:c>
      <x:c r="H48" s="14" t="str">
        <x:v>D</x:v>
      </x:c>
      <x:c r="I48" s="73" t="n">
        <x:v>629</x:v>
      </x:c>
    </x:row>
    <x:row r="49">
      <x:c r="A49" s="14" t="str">
        <x:v>APP-0008152</x:v>
      </x:c>
      <x:c r="B49" s="67" t="n">
        <x:v>0.12743935878911244</x:v>
      </x:c>
      <x:c r="C49" s="70" t="n">
        <x:v>57486.73</x:v>
      </x:c>
      <x:c r="D49" s="73" t="n">
        <x:v>1</x:v>
      </x:c>
      <x:c r="E49" s="77" t="str">
        <x:f>IF(B49&lt;Assumptions!$B$6,"APPROVE_RECOMMENDATION",IF(B49&lt;Assumptions!$B$7,"REFER","DECLINE_RECOMMENDATION"))</x:f>
        <x:v>REFER</x:v>
      </x:c>
      <x:c r="F49" s="77" t="str">
        <x:f>IF(E49="APPROVE_RECOMMENDATION","NO","YES")</x:f>
        <x:v>YES</x:v>
      </x:c>
      <x:c r="G49" s="78" t="n">
        <x:f>B49*Assumptions!$B$8*C49</x:f>
        <x:v>3296.732404537275</x:v>
      </x:c>
      <x:c r="H49" s="14" t="str">
        <x:v>D</x:v>
      </x:c>
      <x:c r="I49" s="73" t="n">
        <x:v>630</x:v>
      </x:c>
    </x:row>
    <x:row r="50">
      <x:c r="A50" s="14" t="str">
        <x:v>APP-0008226</x:v>
      </x:c>
      <x:c r="B50" s="67" t="n">
        <x:v>0.5735731788629513</x:v>
      </x:c>
      <x:c r="C50" s="70" t="n">
        <x:v>10000</x:v>
      </x:c>
      <x:c r="D50" s="73" t="n">
        <x:v>0</x:v>
      </x:c>
      <x:c r="E50" s="77" t="str">
        <x:f>IF(B50&lt;Assumptions!$B$6,"APPROVE_RECOMMENDATION",IF(B50&lt;Assumptions!$B$7,"REFER","DECLINE_RECOMMENDATION"))</x:f>
        <x:v>DECLINE_RECOMMENDATION</x:v>
      </x:c>
      <x:c r="F50" s="77" t="str">
        <x:f>IF(E50="APPROVE_RECOMMENDATION","NO","YES")</x:f>
        <x:v>YES</x:v>
      </x:c>
      <x:c r="G50" s="78" t="n">
        <x:f>B50*Assumptions!$B$8*C50</x:f>
        <x:v>2581.0793048832807</x:v>
      </x:c>
      <x:c r="H50" s="14" t="str">
        <x:v>F</x:v>
      </x:c>
      <x:c r="I50" s="73" t="n">
        <x:v>470</x:v>
      </x:c>
    </x:row>
    <x:row r="51">
      <x:c r="A51" s="14" t="str">
        <x:v>APP-0009637</x:v>
      </x:c>
      <x:c r="B51" s="67" t="n">
        <x:v>0.05667570005235931</x:v>
      </x:c>
      <x:c r="C51" s="70" t="n">
        <x:v>63698.43</x:v>
      </x:c>
      <x:c r="D51" s="73" t="n">
        <x:v>0</x:v>
      </x:c>
      <x:c r="E51" s="77" t="str">
        <x:f>IF(B51&lt;Assumptions!$B$6,"APPROVE_RECOMMENDATION",IF(B51&lt;Assumptions!$B$7,"REFER","DECLINE_RECOMMENDATION"))</x:f>
        <x:v>APPROVE_RECOMMENDATION</x:v>
      </x:c>
      <x:c r="F51" s="77" t="str">
        <x:f>IF(E51="APPROVE_RECOMMENDATION","NO","YES")</x:f>
        <x:v>NO</x:v>
      </x:c>
      <x:c r="G51" s="78" t="n">
        <x:f>B51*Assumptions!$B$8*C51</x:f>
        <x:v>1624.5689006187927</x:v>
      </x:c>
      <x:c r="H51" s="14" t="str">
        <x:v>B</x:v>
      </x:c>
      <x:c r="I51" s="73" t="n">
        <x:v>694</x:v>
      </x:c>
    </x:row>
    <x:row r="52">
      <x:c r="A52" s="14" t="str">
        <x:v>APP-0010801</x:v>
      </x:c>
      <x:c r="B52" s="67" t="n">
        <x:v>0.2654673259167733</x:v>
      </x:c>
      <x:c r="C52" s="70" t="n">
        <x:v>86538.22</x:v>
      </x:c>
      <x:c r="D52" s="73" t="n">
        <x:v>0</x:v>
      </x:c>
      <x:c r="E52" s="77" t="str">
        <x:f>IF(B52&lt;Assumptions!$B$6,"APPROVE_RECOMMENDATION",IF(B52&lt;Assumptions!$B$7,"REFER","DECLINE_RECOMMENDATION"))</x:f>
        <x:v>DECLINE_RECOMMENDATION</x:v>
      </x:c>
      <x:c r="F52" s="77" t="str">
        <x:f>IF(E52="APPROVE_RECOMMENDATION","NO","YES")</x:f>
        <x:v>YES</x:v>
      </x:c>
      <x:c r="G52" s="78" t="n">
        <x:f>B52*Assumptions!$B$8*C52</x:f>
        <x:v>10337.881433848843</x:v>
      </x:c>
      <x:c r="H52" s="14" t="str">
        <x:v>F</x:v>
      </x:c>
      <x:c r="I52" s="73" t="n">
        <x:v>565</x:v>
      </x:c>
    </x:row>
    <x:row r="53">
      <x:c r="A53" s="14" t="str">
        <x:v>APP-0010905</x:v>
      </x:c>
      <x:c r="B53" s="67" t="n">
        <x:v>0.25153583386861655</x:v>
      </x:c>
      <x:c r="C53" s="70" t="n">
        <x:v>43005.37</x:v>
      </x:c>
      <x:c r="D53" s="73" t="n">
        <x:v>0</x:v>
      </x:c>
      <x:c r="E53" s="77" t="str">
        <x:f>IF(B53&lt;Assumptions!$B$6,"APPROVE_RECOMMENDATION",IF(B53&lt;Assumptions!$B$7,"REFER","DECLINE_RECOMMENDATION"))</x:f>
        <x:v>DECLINE_RECOMMENDATION</x:v>
      </x:c>
      <x:c r="F53" s="77" t="str">
        <x:f>IF(E53="APPROVE_RECOMMENDATION","NO","YES")</x:f>
        <x:v>YES</x:v>
      </x:c>
      <x:c r="G53" s="78" t="n">
        <x:f>B53*Assumptions!$B$8*C53</x:f>
        <x:v>4867.826221700274</x:v>
      </x:c>
      <x:c r="H53" s="14" t="str">
        <x:v>F</x:v>
      </x:c>
      <x:c r="I53" s="73" t="n">
        <x:v>570</x:v>
      </x:c>
    </x:row>
    <x:row r="54">
      <x:c r="A54" s="14" t="str">
        <x:v>APP-0012094</x:v>
      </x:c>
      <x:c r="B54" s="67" t="n">
        <x:v>0.18837462052894602</x:v>
      </x:c>
      <x:c r="C54" s="70" t="n">
        <x:v>79634.88</x:v>
      </x:c>
      <x:c r="D54" s="73" t="n">
        <x:v>0</x:v>
      </x:c>
      <x:c r="E54" s="77" t="str">
        <x:f>IF(B54&lt;Assumptions!$B$6,"APPROVE_RECOMMENDATION",IF(B54&lt;Assumptions!$B$7,"REFER","DECLINE_RECOMMENDATION"))</x:f>
        <x:v>REFER</x:v>
      </x:c>
      <x:c r="F54" s="77" t="str">
        <x:f>IF(E54="APPROVE_RECOMMENDATION","NO","YES")</x:f>
        <x:v>YES</x:v>
      </x:c>
      <x:c r="G54" s="78" t="n">
        <x:f>B54*Assumptions!$B$8*C54</x:f>
        <x:v>6750.535635390669</x:v>
      </x:c>
      <x:c r="H54" s="14" t="str">
        <x:v>E</x:v>
      </x:c>
      <x:c r="I54" s="73" t="n">
        <x:v>597</x:v>
      </x:c>
    </x:row>
    <x:row r="55">
      <x:c r="A55" s="14" t="str">
        <x:v>APP-0013588</x:v>
      </x:c>
      <x:c r="B55" s="67" t="n">
        <x:v>0.05714956669141311</x:v>
      </x:c>
      <x:c r="C55" s="70" t="n">
        <x:v>36529.51</x:v>
      </x:c>
      <x:c r="D55" s="73" t="n">
        <x:v>0</x:v>
      </x:c>
      <x:c r="E55" s="77" t="str">
        <x:f>IF(B55&lt;Assumptions!$B$6,"APPROVE_RECOMMENDATION",IF(B55&lt;Assumptions!$B$7,"REFER","DECLINE_RECOMMENDATION"))</x:f>
        <x:v>APPROVE_RECOMMENDATION</x:v>
      </x:c>
      <x:c r="F55" s="77" t="str">
        <x:f>IF(E55="APPROVE_RECOMMENDATION","NO","YES")</x:f>
        <x:v>NO</x:v>
      </x:c>
      <x:c r="G55" s="78" t="n">
        <x:f>B55*Assumptions!$B$8*C55</x:f>
        <x:v>939.4405505773391</x:v>
      </x:c>
      <x:c r="H55" s="14" t="str">
        <x:v>B</x:v>
      </x:c>
      <x:c r="I55" s="73" t="n">
        <x:v>694</x:v>
      </x:c>
    </x:row>
    <x:row r="56">
      <x:c r="A56" s="14" t="str">
        <x:v>APP-0014503</x:v>
      </x:c>
      <x:c r="B56" s="67" t="n">
        <x:v>0.056887043255874396</x:v>
      </x:c>
      <x:c r="C56" s="70" t="n">
        <x:v>45788.49</x:v>
      </x:c>
      <x:c r="D56" s="73" t="n">
        <x:v>0</x:v>
      </x:c>
      <x:c r="E56" s="77" t="str">
        <x:f>IF(B56&lt;Assumptions!$B$6,"APPROVE_RECOMMENDATION",IF(B56&lt;Assumptions!$B$7,"REFER","DECLINE_RECOMMENDATION"))</x:f>
        <x:v>APPROVE_RECOMMENDATION</x:v>
      </x:c>
      <x:c r="F56" s="77" t="str">
        <x:f>IF(E56="APPROVE_RECOMMENDATION","NO","YES")</x:f>
        <x:v>NO</x:v>
      </x:c>
      <x:c r="G56" s="78" t="n">
        <x:f>B56*Assumptions!$B$8*C56</x:f>
        <x:v>1172.1473150630275</x:v>
      </x:c>
      <x:c r="H56" s="14" t="str">
        <x:v>B</x:v>
      </x:c>
      <x:c r="I56" s="73" t="n">
        <x:v>694</x:v>
      </x:c>
    </x:row>
    <x:row r="57">
      <x:c r="A57" s="14" t="str">
        <x:v>APP-0014515</x:v>
      </x:c>
      <x:c r="B57" s="67" t="n">
        <x:v>0.06205476491730202</x:v>
      </x:c>
      <x:c r="C57" s="70" t="n">
        <x:v>16864.71</x:v>
      </x:c>
      <x:c r="D57" s="73" t="n">
        <x:v>0</x:v>
      </x:c>
      <x:c r="E57" s="77" t="str">
        <x:f>IF(B57&lt;Assumptions!$B$6,"APPROVE_RECOMMENDATION",IF(B57&lt;Assumptions!$B$7,"REFER","DECLINE_RECOMMENDATION"))</x:f>
        <x:v>APPROVE_RECOMMENDATION</x:v>
      </x:c>
      <x:c r="F57" s="77" t="str">
        <x:f>IF(E57="APPROVE_RECOMMENDATION","NO","YES")</x:f>
        <x:v>NO</x:v>
      </x:c>
      <x:c r="G57" s="78" t="n">
        <x:f>B57*Assumptions!$B$8*C57</x:f>
        <x:v>470.94102650181264</x:v>
      </x:c>
      <x:c r="H57" s="14" t="str">
        <x:v>C</x:v>
      </x:c>
      <x:c r="I57" s="73" t="n">
        <x:v>687</x:v>
      </x:c>
    </x:row>
    <x:row r="58">
      <x:c r="A58" s="14" t="str">
        <x:v>APP-0014627</x:v>
      </x:c>
      <x:c r="B58" s="67" t="n">
        <x:v>0.04545126077386595</x:v>
      </x:c>
      <x:c r="C58" s="70" t="n">
        <x:v>17040.12</x:v>
      </x:c>
      <x:c r="D58" s="73" t="n">
        <x:v>0</x:v>
      </x:c>
      <x:c r="E58" s="77" t="str">
        <x:f>IF(B58&lt;Assumptions!$B$6,"APPROVE_RECOMMENDATION",IF(B58&lt;Assumptions!$B$7,"REFER","DECLINE_RECOMMENDATION"))</x:f>
        <x:v>APPROVE_RECOMMENDATION</x:v>
      </x:c>
      <x:c r="F58" s="77" t="str">
        <x:f>IF(E58="APPROVE_RECOMMENDATION","NO","YES")</x:f>
        <x:v>NO</x:v>
      </x:c>
      <x:c r="G58" s="78" t="n">
        <x:f>B58*Assumptions!$B$8*C58</x:f>
        <x:v>348.5227219820859</x:v>
      </x:c>
      <x:c r="H58" s="14" t="str">
        <x:v>B</x:v>
      </x:c>
      <x:c r="I58" s="73" t="n">
        <x:v>711</x:v>
      </x:c>
    </x:row>
    <x:row r="59">
      <x:c r="A59" s="14" t="str">
        <x:v>APP-0015837</x:v>
      </x:c>
      <x:c r="B59" s="67" t="n">
        <x:v>0.1379114535144258</x:v>
      </x:c>
      <x:c r="C59" s="70" t="n">
        <x:v>53393.78</x:v>
      </x:c>
      <x:c r="D59" s="73" t="n">
        <x:v>0</x:v>
      </x:c>
      <x:c r="E59" s="77" t="str">
        <x:f>IF(B59&lt;Assumptions!$B$6,"APPROVE_RECOMMENDATION",IF(B59&lt;Assumptions!$B$7,"REFER","DECLINE_RECOMMENDATION"))</x:f>
        <x:v>REFER</x:v>
      </x:c>
      <x:c r="F59" s="77" t="str">
        <x:f>IF(E59="APPROVE_RECOMMENDATION","NO","YES")</x:f>
        <x:v>YES</x:v>
      </x:c>
      <x:c r="G59" s="78" t="n">
        <x:f>B59*Assumptions!$B$8*C59</x:f>
        <x:v>3313.626213793265</x:v>
      </x:c>
      <x:c r="H59" s="14" t="str">
        <x:v>D</x:v>
      </x:c>
      <x:c r="I59" s="73" t="n">
        <x:v>624</x:v>
      </x:c>
    </x:row>
    <x:row r="60">
      <x:c r="A60" s="14" t="str">
        <x:v>APP-0016101</x:v>
      </x:c>
      <x:c r="B60" s="67" t="n">
        <x:v>0.15603327928096053</x:v>
      </x:c>
      <x:c r="C60" s="70" t="n">
        <x:v>55419.22</x:v>
      </x:c>
      <x:c r="D60" s="73" t="n">
        <x:v>0</x:v>
      </x:c>
      <x:c r="E60" s="77" t="str">
        <x:f>IF(B60&lt;Assumptions!$B$6,"APPROVE_RECOMMENDATION",IF(B60&lt;Assumptions!$B$7,"REFER","DECLINE_RECOMMENDATION"))</x:f>
        <x:v>REFER</x:v>
      </x:c>
      <x:c r="F60" s="77" t="str">
        <x:f>IF(E60="APPROVE_RECOMMENDATION","NO","YES")</x:f>
        <x:v>YES</x:v>
      </x:c>
      <x:c r="G60" s="78" t="n">
        <x:f>B60*Assumptions!$B$8*C60</x:f>
        <x:v>3891.259184306847</x:v>
      </x:c>
      <x:c r="H60" s="14" t="str">
        <x:v>E</x:v>
      </x:c>
      <x:c r="I60" s="73" t="n">
        <x:v>613</x:v>
      </x:c>
    </x:row>
    <x:row r="61">
      <x:c r="A61" s="14" t="str">
        <x:v>APP-0016348</x:v>
      </x:c>
      <x:c r="B61" s="67" t="n">
        <x:v>0.0693649144249818</x:v>
      </x:c>
      <x:c r="C61" s="70" t="n">
        <x:v>45473.14</x:v>
      </x:c>
      <x:c r="D61" s="73" t="n">
        <x:v>1</x:v>
      </x:c>
      <x:c r="E61" s="77" t="str">
        <x:f>IF(B61&lt;Assumptions!$B$6,"APPROVE_RECOMMENDATION",IF(B61&lt;Assumptions!$B$7,"REFER","DECLINE_RECOMMENDATION"))</x:f>
        <x:v>APPROVE_RECOMMENDATION</x:v>
      </x:c>
      <x:c r="F61" s="77" t="str">
        <x:f>IF(E61="APPROVE_RECOMMENDATION","NO","YES")</x:f>
        <x:v>NO</x:v>
      </x:c>
      <x:c r="G61" s="78" t="n">
        <x:f>B61*Assumptions!$B$8*C61</x:f>
        <x:v>1419.4082091308476</x:v>
      </x:c>
      <x:c r="H61" s="14" t="str">
        <x:v>C</x:v>
      </x:c>
      <x:c r="I61" s="73" t="n">
        <x:v>679</x:v>
      </x:c>
    </x:row>
    <x:row r="62">
      <x:c r="A62" s="14" t="str">
        <x:v>APP-0016425</x:v>
      </x:c>
      <x:c r="B62" s="67" t="n">
        <x:v>0.05082415608546435</x:v>
      </x:c>
      <x:c r="C62" s="70" t="n">
        <x:v>31334.36</x:v>
      </x:c>
      <x:c r="D62" s="73" t="n">
        <x:v>0</x:v>
      </x:c>
      <x:c r="E62" s="77" t="str">
        <x:f>IF(B62&lt;Assumptions!$B$6,"APPROVE_RECOMMENDATION",IF(B62&lt;Assumptions!$B$7,"REFER","DECLINE_RECOMMENDATION"))</x:f>
        <x:v>APPROVE_RECOMMENDATION</x:v>
      </x:c>
      <x:c r="F62" s="77" t="str">
        <x:f>IF(E62="APPROVE_RECOMMENDATION","NO","YES")</x:f>
        <x:v>NO</x:v>
      </x:c>
      <x:c r="G62" s="78" t="n">
        <x:f>B62*Assumptions!$B$8*C62</x:f>
        <x:v>716.6440815651589</x:v>
      </x:c>
      <x:c r="H62" s="14" t="str">
        <x:v>B</x:v>
      </x:c>
      <x:c r="I62" s="73" t="n">
        <x:v>703</x:v>
      </x:c>
    </x:row>
    <x:row r="63">
      <x:c r="A63" s="14" t="str">
        <x:v>APP-0017603</x:v>
      </x:c>
      <x:c r="B63" s="67" t="n">
        <x:v>0.13679554981748931</x:v>
      </x:c>
      <x:c r="C63" s="70" t="n">
        <x:v>46084.33</x:v>
      </x:c>
      <x:c r="D63" s="73" t="n">
        <x:v>0</x:v>
      </x:c>
      <x:c r="E63" s="77" t="str">
        <x:f>IF(B63&lt;Assumptions!$B$6,"APPROVE_RECOMMENDATION",IF(B63&lt;Assumptions!$B$7,"REFER","DECLINE_RECOMMENDATION"))</x:f>
        <x:v>REFER</x:v>
      </x:c>
      <x:c r="F63" s="77" t="str">
        <x:f>IF(E63="APPROVE_RECOMMENDATION","NO","YES")</x:f>
        <x:v>YES</x:v>
      </x:c>
      <x:c r="G63" s="78" t="n">
        <x:f>B63*Assumptions!$B$8*C63</x:f>
        <x:v>2836.859067144278</x:v>
      </x:c>
      <x:c r="H63" s="14" t="str">
        <x:v>D</x:v>
      </x:c>
      <x:c r="I63" s="73" t="n">
        <x:v>624</x:v>
      </x:c>
    </x:row>
    <x:row r="64">
      <x:c r="A64" s="14" t="str">
        <x:v>APP-0018245</x:v>
      </x:c>
      <x:c r="B64" s="67" t="n">
        <x:v>0.31763526467758557</x:v>
      </x:c>
      <x:c r="C64" s="70" t="n">
        <x:v>10000</x:v>
      </x:c>
      <x:c r="D64" s="73" t="n">
        <x:v>1</x:v>
      </x:c>
      <x:c r="E64" s="77" t="str">
        <x:f>IF(B64&lt;Assumptions!$B$6,"APPROVE_RECOMMENDATION",IF(B64&lt;Assumptions!$B$7,"REFER","DECLINE_RECOMMENDATION"))</x:f>
        <x:v>DECLINE_RECOMMENDATION</x:v>
      </x:c>
      <x:c r="F64" s="77" t="str">
        <x:f>IF(E64="APPROVE_RECOMMENDATION","NO","YES")</x:f>
        <x:v>YES</x:v>
      </x:c>
      <x:c r="G64" s="78" t="n">
        <x:f>B64*Assumptions!$B$8*C64</x:f>
        <x:v>1429.3586910491351</x:v>
      </x:c>
      <x:c r="H64" s="14" t="str">
        <x:v>F</x:v>
      </x:c>
      <x:c r="I64" s="73" t="n">
        <x:v>547</x:v>
      </x:c>
    </x:row>
    <x:row r="65">
      <x:c r="A65" s="14" t="str">
        <x:v>APP-0018336</x:v>
      </x:c>
      <x:c r="B65" s="67" t="n">
        <x:v>0.34416889300702047</x:v>
      </x:c>
      <x:c r="C65" s="70" t="n">
        <x:v>57749.08</x:v>
      </x:c>
      <x:c r="D65" s="73" t="n">
        <x:v>0</x:v>
      </x:c>
      <x:c r="E65" s="77" t="str">
        <x:f>IF(B65&lt;Assumptions!$B$6,"APPROVE_RECOMMENDATION",IF(B65&lt;Assumptions!$B$7,"REFER","DECLINE_RECOMMENDATION"))</x:f>
        <x:v>DECLINE_RECOMMENDATION</x:v>
      </x:c>
      <x:c r="F65" s="77" t="str">
        <x:f>IF(E65="APPROVE_RECOMMENDATION","NO","YES")</x:f>
        <x:v>YES</x:v>
      </x:c>
      <x:c r="G65" s="78" t="n">
        <x:f>B65*Assumptions!$B$8*C65</x:f>
        <x:v>8943.946621098241</x:v>
      </x:c>
      <x:c r="H65" s="14" t="str">
        <x:v>F</x:v>
      </x:c>
      <x:c r="I65" s="73" t="n">
        <x:v>538</x:v>
      </x:c>
    </x:row>
    <x:row r="66">
      <x:c r="A66" s="14" t="str">
        <x:v>APP-0021429</x:v>
      </x:c>
      <x:c r="B66" s="67" t="n">
        <x:v>0.0981915206245344</x:v>
      </x:c>
      <x:c r="C66" s="70" t="n">
        <x:v>27084.31</x:v>
      </x:c>
      <x:c r="D66" s="73" t="n">
        <x:v>0</x:v>
      </x:c>
      <x:c r="E66" s="77" t="str">
        <x:f>IF(B66&lt;Assumptions!$B$6,"APPROVE_RECOMMENDATION",IF(B66&lt;Assumptions!$B$7,"REFER","DECLINE_RECOMMENDATION"))</x:f>
        <x:v>APPROVE_RECOMMENDATION</x:v>
      </x:c>
      <x:c r="F66" s="77" t="str">
        <x:f>IF(E66="APPROVE_RECOMMENDATION","NO","YES")</x:f>
        <x:v>NO</x:v>
      </x:c>
      <x:c r="G66" s="78" t="n">
        <x:f>B66*Assumptions!$B$8*C66</x:f>
        <x:v>1196.7523127848276</x:v>
      </x:c>
      <x:c r="H66" s="14" t="str">
        <x:v>C</x:v>
      </x:c>
      <x:c r="I66" s="73" t="n">
        <x:v>651</x:v>
      </x:c>
    </x:row>
    <x:row r="67">
      <x:c r="A67" s="14" t="str">
        <x:v>APP-0021771</x:v>
      </x:c>
      <x:c r="B67" s="67" t="n">
        <x:v>0.17723382749741023</x:v>
      </x:c>
      <x:c r="C67" s="70" t="n">
        <x:v>52156.11</x:v>
      </x:c>
      <x:c r="D67" s="73" t="n">
        <x:v>1</x:v>
      </x:c>
      <x:c r="E67" s="77" t="str">
        <x:f>IF(B67&lt;Assumptions!$B$6,"APPROVE_RECOMMENDATION",IF(B67&lt;Assumptions!$B$7,"REFER","DECLINE_RECOMMENDATION"))</x:f>
        <x:v>REFER</x:v>
      </x:c>
      <x:c r="F67" s="77" t="str">
        <x:f>IF(E67="APPROVE_RECOMMENDATION","NO","YES")</x:f>
        <x:v>YES</x:v>
      </x:c>
      <x:c r="G67" s="78" t="n">
        <x:f>B67*Assumptions!$B$8*C67</x:f>
        <x:v>4159.722151204179</x:v>
      </x:c>
      <x:c r="H67" s="14" t="str">
        <x:v>E</x:v>
      </x:c>
      <x:c r="I67" s="73" t="n">
        <x:v>602</x:v>
      </x:c>
    </x:row>
    <x:row r="68">
      <x:c r="A68" s="14" t="str">
        <x:v>APP-0024274</x:v>
      </x:c>
      <x:c r="B68" s="67" t="n">
        <x:v>0.18074360086906957</x:v>
      </x:c>
      <x:c r="C68" s="70" t="n">
        <x:v>13688.5</x:v>
      </x:c>
      <x:c r="D68" s="73" t="n">
        <x:v>0</x:v>
      </x:c>
      <x:c r="E68" s="77" t="str">
        <x:f>IF(B68&lt;Assumptions!$B$6,"APPROVE_RECOMMENDATION",IF(B68&lt;Assumptions!$B$7,"REFER","DECLINE_RECOMMENDATION"))</x:f>
        <x:v>REFER</x:v>
      </x:c>
      <x:c r="F68" s="77" t="str">
        <x:f>IF(E68="APPROVE_RECOMMENDATION","NO","YES")</x:f>
        <x:v>YES</x:v>
      </x:c>
      <x:c r="G68" s="78" t="n">
        <x:f>B68*Assumptions!$B$8*C68</x:f>
        <x:v>1113.3489512233164</x:v>
      </x:c>
      <x:c r="H68" s="14" t="str">
        <x:v>E</x:v>
      </x:c>
      <x:c r="I68" s="73" t="n">
        <x:v>601</x:v>
      </x:c>
    </x:row>
    <x:row r="69">
      <x:c r="A69" s="14" t="str">
        <x:v>APP-0027033</x:v>
      </x:c>
      <x:c r="B69" s="67" t="n">
        <x:v>0.08012928258793169</x:v>
      </x:c>
      <x:c r="C69" s="70" t="n">
        <x:v>41890.41</x:v>
      </x:c>
      <x:c r="D69" s="73" t="n">
        <x:v>0</x:v>
      </x:c>
      <x:c r="E69" s="77" t="str">
        <x:f>IF(B69&lt;Assumptions!$B$6,"APPROVE_RECOMMENDATION",IF(B69&lt;Assumptions!$B$7,"REFER","DECLINE_RECOMMENDATION"))</x:f>
        <x:v>APPROVE_RECOMMENDATION</x:v>
      </x:c>
      <x:c r="F69" s="77" t="str">
        <x:f>IF(E69="APPROVE_RECOMMENDATION","NO","YES")</x:f>
        <x:v>NO</x:v>
      </x:c>
      <x:c r="G69" s="78" t="n">
        <x:f>B69*Assumptions!$B$8*C69</x:f>
        <x:v>1510.4918252764437</x:v>
      </x:c>
      <x:c r="H69" s="14" t="str">
        <x:v>C</x:v>
      </x:c>
      <x:c r="I69" s="73" t="n">
        <x:v>668</x:v>
      </x:c>
    </x:row>
    <x:row r="70">
      <x:c r="A70" s="14" t="str">
        <x:v>APP-0027601</x:v>
      </x:c>
      <x:c r="B70" s="67" t="n">
        <x:v>0.10001643172780043</x:v>
      </x:c>
      <x:c r="C70" s="70" t="n">
        <x:v>69273.63</x:v>
      </x:c>
      <x:c r="D70" s="73" t="n">
        <x:v>0</x:v>
      </x:c>
      <x:c r="E70" s="77" t="str">
        <x:f>IF(B70&lt;Assumptions!$B$6,"APPROVE_RECOMMENDATION",IF(B70&lt;Assumptions!$B$7,"REFER","DECLINE_RECOMMENDATION"))</x:f>
        <x:v>REFER</x:v>
      </x:c>
      <x:c r="F70" s="77" t="str">
        <x:f>IF(E70="APPROVE_RECOMMENDATION","NO","YES")</x:f>
        <x:v>YES</x:v>
      </x:c>
      <x:c r="G70" s="78" t="n">
        <x:f>B70*Assumptions!$B$8*C70</x:f>
        <x:v>3117.8255784443586</x:v>
      </x:c>
      <x:c r="H70" s="14" t="str">
        <x:v>D</x:v>
      </x:c>
      <x:c r="I70" s="73" t="n">
        <x:v>650</x:v>
      </x:c>
    </x:row>
    <x:row r="71">
      <x:c r="A71" s="14" t="str">
        <x:v>APP-0027700</x:v>
      </x:c>
      <x:c r="B71" s="67" t="n">
        <x:v>0.036115431490512634</x:v>
      </x:c>
      <x:c r="C71" s="70" t="n">
        <x:v>133148</x:v>
      </x:c>
      <x:c r="D71" s="73" t="n">
        <x:v>0</x:v>
      </x:c>
      <x:c r="E71" s="77" t="str">
        <x:f>IF(B71&lt;Assumptions!$B$6,"APPROVE_RECOMMENDATION",IF(B71&lt;Assumptions!$B$7,"REFER","DECLINE_RECOMMENDATION"))</x:f>
        <x:v>APPROVE_RECOMMENDATION</x:v>
      </x:c>
      <x:c r="F71" s="77" t="str">
        <x:f>IF(E71="APPROVE_RECOMMENDATION","NO","YES")</x:f>
        <x:v>NO</x:v>
      </x:c>
      <x:c r="G71" s="78" t="n">
        <x:f>B71*Assumptions!$B$8*C71</x:f>
        <x:v>2163.9138624444495</x:v>
      </x:c>
      <x:c r="H71" s="14" t="str">
        <x:v>B</x:v>
      </x:c>
      <x:c r="I71" s="73" t="n">
        <x:v>728</x:v>
      </x:c>
    </x:row>
    <x:row r="72">
      <x:c r="A72" s="14" t="str">
        <x:v>APP-0032549</x:v>
      </x:c>
      <x:c r="B72" s="67" t="n">
        <x:v>0.3132820508601</x:v>
      </x:c>
      <x:c r="C72" s="70" t="n">
        <x:v>17819.81</x:v>
      </x:c>
      <x:c r="D72" s="73" t="n">
        <x:v>1</x:v>
      </x:c>
      <x:c r="E72" s="77" t="str">
        <x:f>IF(B72&lt;Assumptions!$B$6,"APPROVE_RECOMMENDATION",IF(B72&lt;Assumptions!$B$7,"REFER","DECLINE_RECOMMENDATION"))</x:f>
        <x:v>DECLINE_RECOMMENDATION</x:v>
      </x:c>
      <x:c r="F72" s="77" t="str">
        <x:f>IF(E72="APPROVE_RECOMMENDATION","NO","YES")</x:f>
        <x:v>YES</x:v>
      </x:c>
      <x:c r="G72" s="78" t="n">
        <x:f>B72*Assumptions!$B$8*C72</x:f>
        <x:v>2512.181980231794</x:v>
      </x:c>
      <x:c r="H72" s="14" t="str">
        <x:v>F</x:v>
      </x:c>
      <x:c r="I72" s="73" t="n">
        <x:v>548</x:v>
      </x:c>
    </x:row>
    <x:row r="73">
      <x:c r="A73" s="14" t="str">
        <x:v>APP-0032884</x:v>
      </x:c>
      <x:c r="B73" s="67" t="n">
        <x:v>0.10031098923970823</x:v>
      </x:c>
      <x:c r="C73" s="70" t="n">
        <x:v>37302.75</x:v>
      </x:c>
      <x:c r="D73" s="73" t="n">
        <x:v>0</x:v>
      </x:c>
      <x:c r="E73" s="77" t="str">
        <x:f>IF(B73&lt;Assumptions!$B$6,"APPROVE_RECOMMENDATION",IF(B73&lt;Assumptions!$B$7,"REFER","DECLINE_RECOMMENDATION"))</x:f>
        <x:v>REFER</x:v>
      </x:c>
      <x:c r="F73" s="77" t="str">
        <x:f>IF(E73="APPROVE_RECOMMENDATION","NO","YES")</x:f>
        <x:v>YES</x:v>
      </x:c>
      <x:c r="G73" s="78" t="n">
        <x:f>B73*Assumptions!$B$8*C73</x:f>
        <x:v>1683.8440892376868</x:v>
      </x:c>
      <x:c r="H73" s="14" t="str">
        <x:v>D</x:v>
      </x:c>
      <x:c r="I73" s="73" t="n">
        <x:v>650</x:v>
      </x:c>
    </x:row>
    <x:row r="74">
      <x:c r="A74" s="14" t="str">
        <x:v>APP-0033399</x:v>
      </x:c>
      <x:c r="B74" s="67" t="n">
        <x:v>0.09845676764478585</x:v>
      </x:c>
      <x:c r="C74" s="70" t="n">
        <x:v>18540.21</x:v>
      </x:c>
      <x:c r="D74" s="73" t="n">
        <x:v>0</x:v>
      </x:c>
      <x:c r="E74" s="77" t="str">
        <x:f>IF(B74&lt;Assumptions!$B$6,"APPROVE_RECOMMENDATION",IF(B74&lt;Assumptions!$B$7,"REFER","DECLINE_RECOMMENDATION"))</x:f>
        <x:v>APPROVE_RECOMMENDATION</x:v>
      </x:c>
      <x:c r="F74" s="77" t="str">
        <x:f>IF(E74="APPROVE_RECOMMENDATION","NO","YES")</x:f>
        <x:v>NO</x:v>
      </x:c>
      <x:c r="G74" s="78" t="n">
        <x:f>B74*Assumptions!$B$8*C74</x:f>
        <x:v>821.4341166249907</x:v>
      </x:c>
      <x:c r="H74" s="14" t="str">
        <x:v>C</x:v>
      </x:c>
      <x:c r="I74" s="73" t="n">
        <x:v>651</x:v>
      </x:c>
    </x:row>
    <x:row r="75">
      <x:c r="A75" s="14" t="str">
        <x:v>APP-0034386</x:v>
      </x:c>
      <x:c r="B75" s="67" t="n">
        <x:v>0.6839030451495673</x:v>
      </x:c>
      <x:c r="C75" s="70" t="n">
        <x:v>45217.69</x:v>
      </x:c>
      <x:c r="D75" s="73" t="n">
        <x:v>1</x:v>
      </x:c>
      <x:c r="E75" s="77" t="str">
        <x:f>IF(B75&lt;Assumptions!$B$6,"APPROVE_RECOMMENDATION",IF(B75&lt;Assumptions!$B$7,"REFER","DECLINE_RECOMMENDATION"))</x:f>
        <x:v>DECLINE_RECOMMENDATION</x:v>
      </x:c>
      <x:c r="F75" s="77" t="str">
        <x:f>IF(E75="APPROVE_RECOMMENDATION","NO","YES")</x:f>
        <x:v>YES</x:v>
      </x:c>
      <x:c r="G75" s="78" t="n">
        <x:f>B75*Assumptions!$B$8*C75</x:f>
        <x:v>13916.032148533113</x:v>
      </x:c>
      <x:c r="H75" s="14" t="str">
        <x:v>F</x:v>
      </x:c>
      <x:c r="I75" s="73" t="n">
        <x:v>436</x:v>
      </x:c>
    </x:row>
    <x:row r="76">
      <x:c r="A76" s="14" t="str">
        <x:v>APP-0035570</x:v>
      </x:c>
      <x:c r="B76" s="67" t="n">
        <x:v>0.06031811579849154</x:v>
      </x:c>
      <x:c r="C76" s="70" t="n">
        <x:v>40565.62</x:v>
      </x:c>
      <x:c r="D76" s="73" t="n">
        <x:v>0</x:v>
      </x:c>
      <x:c r="E76" s="77" t="str">
        <x:f>IF(B76&lt;Assumptions!$B$6,"APPROVE_RECOMMENDATION",IF(B76&lt;Assumptions!$B$7,"REFER","DECLINE_RECOMMENDATION"))</x:f>
        <x:v>APPROVE_RECOMMENDATION</x:v>
      </x:c>
      <x:c r="F76" s="77" t="str">
        <x:f>IF(E76="APPROVE_RECOMMENDATION","NO","YES")</x:f>
        <x:v>NO</x:v>
      </x:c>
      <x:c r="G76" s="78" t="n">
        <x:f>B76*Assumptions!$B$8*C76</x:f>
        <x:v>1101.0787940689222</x:v>
      </x:c>
      <x:c r="H76" s="14" t="str">
        <x:v>C</x:v>
      </x:c>
      <x:c r="I76" s="73" t="n">
        <x:v>690</x:v>
      </x:c>
    </x:row>
    <x:row r="77">
      <x:c r="A77" s="14" t="str">
        <x:v>APP-0035842</x:v>
      </x:c>
      <x:c r="B77" s="67" t="n">
        <x:v>0.06118275398573275</x:v>
      </x:c>
      <x:c r="C77" s="70" t="n">
        <x:v>18496.37</x:v>
      </x:c>
      <x:c r="D77" s="73" t="n">
        <x:v>0</x:v>
      </x:c>
      <x:c r="E77" s="77" t="str">
        <x:f>IF(B77&lt;Assumptions!$B$6,"APPROVE_RECOMMENDATION",IF(B77&lt;Assumptions!$B$7,"REFER","DECLINE_RECOMMENDATION"))</x:f>
        <x:v>APPROVE_RECOMMENDATION</x:v>
      </x:c>
      <x:c r="F77" s="77" t="str">
        <x:f>IF(E77="APPROVE_RECOMMENDATION","NO","YES")</x:f>
        <x:v>NO</x:v>
      </x:c>
      <x:c r="G77" s="78" t="n">
        <x:f>B77*Assumptions!$B$8*C77</x:f>
        <x:v>509.2464849025895</x:v>
      </x:c>
      <x:c r="H77" s="14" t="str">
        <x:v>C</x:v>
      </x:c>
      <x:c r="I77" s="73" t="n">
        <x:v>688</x:v>
      </x:c>
    </x:row>
    <x:row r="78">
      <x:c r="A78" s="14" t="str">
        <x:v>APP-0041719</x:v>
      </x:c>
      <x:c r="B78" s="67" t="n">
        <x:v>0.1702874078722226</x:v>
      </x:c>
      <x:c r="C78" s="70" t="n">
        <x:v>39180.92</x:v>
      </x:c>
      <x:c r="D78" s="73" t="n">
        <x:v>0</x:v>
      </x:c>
      <x:c r="E78" s="77" t="str">
        <x:f>IF(B78&lt;Assumptions!$B$6,"APPROVE_RECOMMENDATION",IF(B78&lt;Assumptions!$B$7,"REFER","DECLINE_RECOMMENDATION"))</x:f>
        <x:v>REFER</x:v>
      </x:c>
      <x:c r="F78" s="77" t="str">
        <x:f>IF(E78="APPROVE_RECOMMENDATION","NO","YES")</x:f>
        <x:v>YES</x:v>
      </x:c>
      <x:c r="G78" s="78" t="n">
        <x:f>B78*Assumptions!$B$8*C78</x:f>
        <x:v>3002.407787182016</x:v>
      </x:c>
      <x:c r="H78" s="14" t="str">
        <x:v>E</x:v>
      </x:c>
      <x:c r="I78" s="73" t="n">
        <x:v>606</x:v>
      </x:c>
    </x:row>
    <x:row r="79">
      <x:c r="A79" s="14" t="str">
        <x:v>APP-0042280</x:v>
      </x:c>
      <x:c r="B79" s="67" t="n">
        <x:v>0.0637623073417264</x:v>
      </x:c>
      <x:c r="C79" s="70" t="n">
        <x:v>98353.87</x:v>
      </x:c>
      <x:c r="D79" s="73" t="n">
        <x:v>0</x:v>
      </x:c>
      <x:c r="E79" s="77" t="str">
        <x:f>IF(B79&lt;Assumptions!$B$6,"APPROVE_RECOMMENDATION",IF(B79&lt;Assumptions!$B$7,"REFER","DECLINE_RECOMMENDATION"))</x:f>
        <x:v>APPROVE_RECOMMENDATION</x:v>
      </x:c>
      <x:c r="F79" s="77" t="str">
        <x:f>IF(E79="APPROVE_RECOMMENDATION","NO","YES")</x:f>
        <x:v>NO</x:v>
      </x:c>
      <x:c r="G79" s="78" t="n">
        <x:f>B79*Assumptions!$B$8*C79</x:f>
        <x:v>2822.071359234692</x:v>
      </x:c>
      <x:c r="H79" s="14" t="str">
        <x:v>C</x:v>
      </x:c>
      <x:c r="I79" s="73" t="n">
        <x:v>685</x:v>
      </x:c>
    </x:row>
    <x:row r="80">
      <x:c r="A80" s="14" t="str">
        <x:v>APP-0001714</x:v>
      </x:c>
      <x:c r="B80" s="67" t="n">
        <x:v>0.18402298627660438</x:v>
      </x:c>
      <x:c r="C80" s="70" t="n">
        <x:v>30406.21</x:v>
      </x:c>
      <x:c r="D80" s="73" t="n">
        <x:v>0</x:v>
      </x:c>
      <x:c r="E80" s="77" t="str">
        <x:f>IF(B80&lt;Assumptions!$B$6,"APPROVE_RECOMMENDATION",IF(B80&lt;Assumptions!$B$7,"REFER","DECLINE_RECOMMENDATION"))</x:f>
        <x:v>REFER</x:v>
      </x:c>
      <x:c r="F80" s="77" t="str">
        <x:f>IF(E80="APPROVE_RECOMMENDATION","NO","YES")</x:f>
        <x:v>YES</x:v>
      </x:c>
      <x:c r="G80" s="78" t="n">
        <x:f>B80*Assumptions!$B$8*C80</x:f>
        <x:v>2517.948704499098</x:v>
      </x:c>
      <x:c r="H80" s="14" t="str">
        <x:v>E</x:v>
      </x:c>
      <x:c r="I80" s="73" t="n">
        <x:v>599</x:v>
      </x:c>
    </x:row>
    <x:row r="81">
      <x:c r="A81" s="14" t="str">
        <x:v>APP-0004080</x:v>
      </x:c>
      <x:c r="B81" s="67" t="n">
        <x:v>0.09296114332348902</x:v>
      </x:c>
      <x:c r="C81" s="70" t="n">
        <x:v>13415.59</x:v>
      </x:c>
      <x:c r="D81" s="73" t="n">
        <x:v>0</x:v>
      </x:c>
      <x:c r="E81" s="77" t="str">
        <x:f>IF(B81&lt;Assumptions!$B$6,"APPROVE_RECOMMENDATION",IF(B81&lt;Assumptions!$B$7,"REFER","DECLINE_RECOMMENDATION"))</x:f>
        <x:v>APPROVE_RECOMMENDATION</x:v>
      </x:c>
      <x:c r="F81" s="77" t="str">
        <x:f>IF(E81="APPROVE_RECOMMENDATION","NO","YES")</x:f>
        <x:v>NO</x:v>
      </x:c>
      <x:c r="G81" s="78" t="n">
        <x:f>B81*Assumptions!$B$8*C81</x:f>
        <x:v>561.2078631416247</x:v>
      </x:c>
      <x:c r="H81" s="14" t="str">
        <x:v>C</x:v>
      </x:c>
      <x:c r="I81" s="73" t="n">
        <x:v>656</x:v>
      </x:c>
    </x:row>
    <x:row r="82">
      <x:c r="A82" s="14" t="str">
        <x:v>APP-0005737</x:v>
      </x:c>
      <x:c r="B82" s="67" t="n">
        <x:v>0.15297018295936313</x:v>
      </x:c>
      <x:c r="C82" s="70" t="n">
        <x:v>10000</x:v>
      </x:c>
      <x:c r="D82" s="73" t="n">
        <x:v>0</x:v>
      </x:c>
      <x:c r="E82" s="77" t="str">
        <x:f>IF(B82&lt;Assumptions!$B$6,"APPROVE_RECOMMENDATION",IF(B82&lt;Assumptions!$B$7,"REFER","DECLINE_RECOMMENDATION"))</x:f>
        <x:v>REFER</x:v>
      </x:c>
      <x:c r="F82" s="77" t="str">
        <x:f>IF(E82="APPROVE_RECOMMENDATION","NO","YES")</x:f>
        <x:v>YES</x:v>
      </x:c>
      <x:c r="G82" s="78" t="n">
        <x:f>B82*Assumptions!$B$8*C82</x:f>
        <x:v>688.3658233171342</x:v>
      </x:c>
      <x:c r="H82" s="14" t="str">
        <x:v>E</x:v>
      </x:c>
      <x:c r="I82" s="73" t="n">
        <x:v>615</x:v>
      </x:c>
    </x:row>
    <x:row r="83">
      <x:c r="A83" s="14" t="str">
        <x:v>APP-0006450</x:v>
      </x:c>
      <x:c r="B83" s="67" t="n">
        <x:v>0.15168957989311282</x:v>
      </x:c>
      <x:c r="C83" s="70" t="n">
        <x:v>102043.71</x:v>
      </x:c>
      <x:c r="D83" s="73" t="n">
        <x:v>0</x:v>
      </x:c>
      <x:c r="E83" s="77" t="str">
        <x:f>IF(B83&lt;Assumptions!$B$6,"APPROVE_RECOMMENDATION",IF(B83&lt;Assumptions!$B$7,"REFER","DECLINE_RECOMMENDATION"))</x:f>
        <x:v>REFER</x:v>
      </x:c>
      <x:c r="F83" s="77" t="str">
        <x:f>IF(E83="APPROVE_RECOMMENDATION","NO","YES")</x:f>
        <x:v>YES</x:v>
      </x:c>
      <x:c r="G83" s="78" t="n">
        <x:f>B83*Assumptions!$B$8*C83</x:f>
        <x:v>6965.535375285586</x:v>
      </x:c>
      <x:c r="H83" s="14" t="str">
        <x:v>E</x:v>
      </x:c>
      <x:c r="I83" s="73" t="n">
        <x:v>616</x:v>
      </x:c>
    </x:row>
    <x:row r="84">
      <x:c r="A84" s="14" t="str">
        <x:v>APP-0007719</x:v>
      </x:c>
      <x:c r="B84" s="67" t="n">
        <x:v>0.10310931543824355</x:v>
      </x:c>
      <x:c r="C84" s="70" t="n">
        <x:v>10000</x:v>
      </x:c>
      <x:c r="D84" s="73" t="n">
        <x:v>0</x:v>
      </x:c>
      <x:c r="E84" s="77" t="str">
        <x:f>IF(B84&lt;Assumptions!$B$6,"APPROVE_RECOMMENDATION",IF(B84&lt;Assumptions!$B$7,"REFER","DECLINE_RECOMMENDATION"))</x:f>
        <x:v>REFER</x:v>
      </x:c>
      <x:c r="F84" s="77" t="str">
        <x:f>IF(E84="APPROVE_RECOMMENDATION","NO","YES")</x:f>
        <x:v>YES</x:v>
      </x:c>
      <x:c r="G84" s="78" t="n">
        <x:f>B84*Assumptions!$B$8*C84</x:f>
        <x:v>463.99191947209596</x:v>
      </x:c>
      <x:c r="H84" s="14" t="str">
        <x:v>D</x:v>
      </x:c>
      <x:c r="I84" s="73" t="n">
        <x:v>648</x:v>
      </x:c>
    </x:row>
    <x:row r="85">
      <x:c r="A85" s="14" t="str">
        <x:v>APP-0008122</x:v>
      </x:c>
      <x:c r="B85" s="67" t="n">
        <x:v>0.18700722844573012</x:v>
      </x:c>
      <x:c r="C85" s="70" t="n">
        <x:v>41329.78</x:v>
      </x:c>
      <x:c r="D85" s="73" t="n">
        <x:v>1</x:v>
      </x:c>
      <x:c r="E85" s="77" t="str">
        <x:f>IF(B85&lt;Assumptions!$B$6,"APPROVE_RECOMMENDATION",IF(B85&lt;Assumptions!$B$7,"REFER","DECLINE_RECOMMENDATION"))</x:f>
        <x:v>REFER</x:v>
      </x:c>
      <x:c r="F85" s="77" t="str">
        <x:f>IF(E85="APPROVE_RECOMMENDATION","NO","YES")</x:f>
        <x:v>YES</x:v>
      </x:c>
      <x:c r="G85" s="78" t="n">
        <x:f>B85*Assumptions!$B$8*C85</x:f>
        <x:v>3478.0354245322956</x:v>
      </x:c>
      <x:c r="H85" s="14" t="str">
        <x:v>E</x:v>
      </x:c>
      <x:c r="I85" s="73" t="n">
        <x:v>598</x:v>
      </x:c>
    </x:row>
    <x:row r="86">
      <x:c r="A86" s="14" t="str">
        <x:v>APP-0008914</x:v>
      </x:c>
      <x:c r="B86" s="67" t="n">
        <x:v>0.1811676717313061</x:v>
      </x:c>
      <x:c r="C86" s="70" t="n">
        <x:v>150935.44</x:v>
      </x:c>
      <x:c r="D86" s="73" t="n">
        <x:v>0</x:v>
      </x:c>
      <x:c r="E86" s="77" t="str">
        <x:f>IF(B86&lt;Assumptions!$B$6,"APPROVE_RECOMMENDATION",IF(B86&lt;Assumptions!$B$7,"REFER","DECLINE_RECOMMENDATION"))</x:f>
        <x:v>REFER</x:v>
      </x:c>
      <x:c r="F86" s="77" t="str">
        <x:f>IF(E86="APPROVE_RECOMMENDATION","NO","YES")</x:f>
        <x:v>YES</x:v>
      </x:c>
      <x:c r="G86" s="78" t="n">
        <x:f>B86*Assumptions!$B$8*C86</x:f>
        <x:v>12305.080010943113</x:v>
      </x:c>
      <x:c r="H86" s="14" t="str">
        <x:v>E</x:v>
      </x:c>
      <x:c r="I86" s="73" t="n">
        <x:v>600</x:v>
      </x:c>
    </x:row>
    <x:row r="87">
      <x:c r="A87" s="14" t="str">
        <x:v>APP-0012405</x:v>
      </x:c>
      <x:c r="B87" s="67" t="n">
        <x:v>0.12472696366165523</x:v>
      </x:c>
      <x:c r="C87" s="70" t="n">
        <x:v>182501.55</x:v>
      </x:c>
      <x:c r="D87" s="73" t="n">
        <x:v>1</x:v>
      </x:c>
      <x:c r="E87" s="77" t="str">
        <x:f>IF(B87&lt;Assumptions!$B$6,"APPROVE_RECOMMENDATION",IF(B87&lt;Assumptions!$B$7,"REFER","DECLINE_RECOMMENDATION"))</x:f>
        <x:v>REFER</x:v>
      </x:c>
      <x:c r="F87" s="77" t="str">
        <x:f>IF(E87="APPROVE_RECOMMENDATION","NO","YES")</x:f>
        <x:v>YES</x:v>
      </x:c>
      <x:c r="G87" s="78" t="n">
        <x:f>B87*Assumptions!$B$8*C87</x:f>
        <x:v>10243.28888777059</x:v>
      </x:c>
      <x:c r="H87" s="14" t="str">
        <x:v>D</x:v>
      </x:c>
      <x:c r="I87" s="73" t="n">
        <x:v>632</x:v>
      </x:c>
    </x:row>
    <x:row r="88">
      <x:c r="A88" s="14" t="str">
        <x:v>APP-0013003</x:v>
      </x:c>
      <x:c r="B88" s="67" t="n">
        <x:v>0.03585387191145827</x:v>
      </x:c>
      <x:c r="C88" s="70" t="n">
        <x:v>65239.43</x:v>
      </x:c>
      <x:c r="D88" s="73" t="n">
        <x:v>0</x:v>
      </x:c>
      <x:c r="E88" s="77" t="str">
        <x:f>IF(B88&lt;Assumptions!$B$6,"APPROVE_RECOMMENDATION",IF(B88&lt;Assumptions!$B$7,"REFER","DECLINE_RECOMMENDATION"))</x:f>
        <x:v>APPROVE_RECOMMENDATION</x:v>
      </x:c>
      <x:c r="F88" s="77" t="str">
        <x:f>IF(E88="APPROVE_RECOMMENDATION","NO","YES")</x:f>
        <x:v>NO</x:v>
      </x:c>
      <x:c r="G88" s="78" t="n">
        <x:f>B88*Assumptions!$B$8*C88</x:f>
        <x:v>1052.5887750584468</x:v>
      </x:c>
      <x:c r="H88" s="14" t="str">
        <x:v>B</x:v>
      </x:c>
      <x:c r="I88" s="73" t="n">
        <x:v>729</x:v>
      </x:c>
    </x:row>
    <x:row r="89">
      <x:c r="A89" s="14" t="str">
        <x:v>APP-0013010</x:v>
      </x:c>
      <x:c r="B89" s="67" t="n">
        <x:v>0.49064015888290774</x:v>
      </x:c>
      <x:c r="C89" s="70" t="n">
        <x:v>89599.29</x:v>
      </x:c>
      <x:c r="D89" s="73" t="n">
        <x:v>1</x:v>
      </x:c>
      <x:c r="E89" s="77" t="str">
        <x:f>IF(B89&lt;Assumptions!$B$6,"APPROVE_RECOMMENDATION",IF(B89&lt;Assumptions!$B$7,"REFER","DECLINE_RECOMMENDATION"))</x:f>
        <x:v>DECLINE_RECOMMENDATION</x:v>
      </x:c>
      <x:c r="F89" s="77" t="str">
        <x:f>IF(E89="APPROVE_RECOMMENDATION","NO","YES")</x:f>
        <x:v>YES</x:v>
      </x:c>
      <x:c r="G89" s="78" t="n">
        <x:f>B89*Assumptions!$B$8*C89</x:f>
        <x:v>19782.454446628075</x:v>
      </x:c>
      <x:c r="H89" s="14" t="str">
        <x:v>F</x:v>
      </x:c>
      <x:c r="I89" s="73" t="n">
        <x:v>494</x:v>
      </x:c>
    </x:row>
    <x:row r="90">
      <x:c r="A90" s="14" t="str">
        <x:v>APP-0015349</x:v>
      </x:c>
      <x:c r="B90" s="67" t="n">
        <x:v>0.14653638626894494</x:v>
      </x:c>
      <x:c r="C90" s="70" t="n">
        <x:v>33263.24</x:v>
      </x:c>
      <x:c r="D90" s="73" t="n">
        <x:v>0</x:v>
      </x:c>
      <x:c r="E90" s="77" t="str">
        <x:f>IF(B90&lt;Assumptions!$B$6,"APPROVE_RECOMMENDATION",IF(B90&lt;Assumptions!$B$7,"REFER","DECLINE_RECOMMENDATION"))</x:f>
        <x:v>REFER</x:v>
      </x:c>
      <x:c r="F90" s="77" t="str">
        <x:f>IF(E90="APPROVE_RECOMMENDATION","NO","YES")</x:f>
        <x:v>YES</x:v>
      </x:c>
      <x:c r="G90" s="78" t="n">
        <x:f>B90*Assumptions!$B$8*C90</x:f>
        <x:v>2193.423743338479</x:v>
      </x:c>
      <x:c r="H90" s="14" t="str">
        <x:v>D</x:v>
      </x:c>
      <x:c r="I90" s="73" t="n">
        <x:v>619</x:v>
      </x:c>
    </x:row>
    <x:row r="91">
      <x:c r="A91" s="14" t="str">
        <x:v>APP-0019305</x:v>
      </x:c>
      <x:c r="B91" s="67" t="n">
        <x:v>0.12245969661375354</x:v>
      </x:c>
      <x:c r="C91" s="70" t="n">
        <x:v>55500.7</x:v>
      </x:c>
      <x:c r="D91" s="73" t="n">
        <x:v>0</x:v>
      </x:c>
      <x:c r="E91" s="77" t="str">
        <x:f>IF(B91&lt;Assumptions!$B$6,"APPROVE_RECOMMENDATION",IF(B91&lt;Assumptions!$B$7,"REFER","DECLINE_RECOMMENDATION"))</x:f>
        <x:v>REFER</x:v>
      </x:c>
      <x:c r="F91" s="77" t="str">
        <x:f>IF(E91="APPROVE_RECOMMENDATION","NO","YES")</x:f>
        <x:v>YES</x:v>
      </x:c>
      <x:c r="G91" s="78" t="n">
        <x:f>B91*Assumptions!$B$8*C91</x:f>
        <x:v>3058.4694977329277</x:v>
      </x:c>
      <x:c r="H91" s="14" t="str">
        <x:v>D</x:v>
      </x:c>
      <x:c r="I91" s="73" t="n">
        <x:v>634</x:v>
      </x:c>
    </x:row>
    <x:row r="92">
      <x:c r="A92" s="14" t="str">
        <x:v>APP-0020222</x:v>
      </x:c>
      <x:c r="B92" s="67" t="n">
        <x:v>0.19253474803889317</x:v>
      </x:c>
      <x:c r="C92" s="70" t="n">
        <x:v>53117.68</x:v>
      </x:c>
      <x:c r="D92" s="73" t="n">
        <x:v>0</x:v>
      </x:c>
      <x:c r="E92" s="77" t="str">
        <x:f>IF(B92&lt;Assumptions!$B$6,"APPROVE_RECOMMENDATION",IF(B92&lt;Assumptions!$B$7,"REFER","DECLINE_RECOMMENDATION"))</x:f>
        <x:v>REFER</x:v>
      </x:c>
      <x:c r="F92" s="77" t="str">
        <x:f>IF(E92="APPROVE_RECOMMENDATION","NO","YES")</x:f>
        <x:v>YES</x:v>
      </x:c>
      <x:c r="G92" s="78" t="n">
        <x:f>B92*Assumptions!$B$8*C92</x:f>
        <x:v>4602.14961084475</x:v>
      </x:c>
      <x:c r="H92" s="14" t="str">
        <x:v>E</x:v>
      </x:c>
      <x:c r="I92" s="73" t="n">
        <x:v>595</x:v>
      </x:c>
    </x:row>
    <x:row r="93">
      <x:c r="A93" s="14" t="str">
        <x:v>APP-0021232</x:v>
      </x:c>
      <x:c r="B93" s="67" t="n">
        <x:v>0.040502107369966525</x:v>
      </x:c>
      <x:c r="C93" s="70" t="n">
        <x:v>153240.11</x:v>
      </x:c>
      <x:c r="D93" s="73" t="n">
        <x:v>0</x:v>
      </x:c>
      <x:c r="E93" s="77" t="str">
        <x:f>IF(B93&lt;Assumptions!$B$6,"APPROVE_RECOMMENDATION",IF(B93&lt;Assumptions!$B$7,"REFER","DECLINE_RECOMMENDATION"))</x:f>
        <x:v>APPROVE_RECOMMENDATION</x:v>
      </x:c>
      <x:c r="F93" s="77" t="str">
        <x:f>IF(E93="APPROVE_RECOMMENDATION","NO","YES")</x:f>
        <x:v>NO</x:v>
      </x:c>
      <x:c r="G93" s="78" t="n">
        <x:f>B93*Assumptions!$B$8*C93</x:f>
        <x:v>2792.9463248724664</x:v>
      </x:c>
      <x:c r="H93" s="14" t="str">
        <x:v>B</x:v>
      </x:c>
      <x:c r="I93" s="73" t="n">
        <x:v>720</x:v>
      </x:c>
    </x:row>
    <x:row r="94">
      <x:c r="A94" s="14" t="str">
        <x:v>APP-0022294</x:v>
      </x:c>
      <x:c r="B94" s="67" t="n">
        <x:v>0.4891770120636878</x:v>
      </x:c>
      <x:c r="C94" s="70" t="n">
        <x:v>30378.52</x:v>
      </x:c>
      <x:c r="D94" s="73" t="n">
        <x:v>1</x:v>
      </x:c>
      <x:c r="E94" s="77" t="str">
        <x:f>IF(B94&lt;Assumptions!$B$6,"APPROVE_RECOMMENDATION",IF(B94&lt;Assumptions!$B$7,"REFER","DECLINE_RECOMMENDATION"))</x:f>
        <x:v>DECLINE_RECOMMENDATION</x:v>
      </x:c>
      <x:c r="F94" s="77" t="str">
        <x:f>IF(E94="APPROVE_RECOMMENDATION","NO","YES")</x:f>
        <x:v>YES</x:v>
      </x:c>
      <x:c r="G94" s="78" t="n">
        <x:f>B94*Assumptions!$B$8*C94</x:f>
        <x:v>6687.213140032642</x:v>
      </x:c>
      <x:c r="H94" s="14" t="str">
        <x:v>F</x:v>
      </x:c>
      <x:c r="I94" s="73" t="n">
        <x:v>495</x:v>
      </x:c>
    </x:row>
    <x:row r="95">
      <x:c r="A95" s="14" t="str">
        <x:v>APP-0022315</x:v>
      </x:c>
      <x:c r="B95" s="67" t="n">
        <x:v>0.03777412744729173</x:v>
      </x:c>
      <x:c r="C95" s="70" t="n">
        <x:v>52694.6</x:v>
      </x:c>
      <x:c r="D95" s="73" t="n">
        <x:v>0</x:v>
      </x:c>
      <x:c r="E95" s="77" t="str">
        <x:f>IF(B95&lt;Assumptions!$B$6,"APPROVE_RECOMMENDATION",IF(B95&lt;Assumptions!$B$7,"REFER","DECLINE_RECOMMENDATION"))</x:f>
        <x:v>APPROVE_RECOMMENDATION</x:v>
      </x:c>
      <x:c r="F95" s="77" t="str">
        <x:f>IF(E95="APPROVE_RECOMMENDATION","NO","YES")</x:f>
        <x:v>NO</x:v>
      </x:c>
      <x:c r="G95" s="78" t="n">
        <x:f>B95*Assumptions!$B$8*C95</x:f>
        <x:v>895.7216412828263</x:v>
      </x:c>
      <x:c r="H95" s="14" t="str">
        <x:v>B</x:v>
      </x:c>
      <x:c r="I95" s="73" t="n">
        <x:v>725</x:v>
      </x:c>
    </x:row>
    <x:row r="96">
      <x:c r="A96" s="14" t="str">
        <x:v>APP-0022771</x:v>
      </x:c>
      <x:c r="B96" s="67" t="n">
        <x:v>0.0880016010672212</x:v>
      </x:c>
      <x:c r="C96" s="70" t="n">
        <x:v>31488.42</x:v>
      </x:c>
      <x:c r="D96" s="73" t="n">
        <x:v>0</x:v>
      </x:c>
      <x:c r="E96" s="77" t="str">
        <x:f>IF(B96&lt;Assumptions!$B$6,"APPROVE_RECOMMENDATION",IF(B96&lt;Assumptions!$B$7,"REFER","DECLINE_RECOMMENDATION"))</x:f>
        <x:v>APPROVE_RECOMMENDATION</x:v>
      </x:c>
      <x:c r="F96" s="77" t="str">
        <x:f>IF(E96="APPROVE_RECOMMENDATION","NO","YES")</x:f>
        <x:v>NO</x:v>
      </x:c>
      <x:c r="G96" s="78" t="n">
        <x:f>B96*Assumptions!$B$8*C96</x:f>
        <x:v>1246.9641187846992</x:v>
      </x:c>
      <x:c r="H96" s="14" t="str">
        <x:v>C</x:v>
      </x:c>
      <x:c r="I96" s="73" t="n">
        <x:v>660</x:v>
      </x:c>
    </x:row>
    <x:row r="97">
      <x:c r="A97" s="14" t="str">
        <x:v>APP-0023868</x:v>
      </x:c>
      <x:c r="B97" s="67" t="n">
        <x:v>0.480863428345001</x:v>
      </x:c>
      <x:c r="C97" s="70" t="n">
        <x:v>12556.77</x:v>
      </x:c>
      <x:c r="D97" s="73" t="n">
        <x:v>1</x:v>
      </x:c>
      <x:c r="E97" s="77" t="str">
        <x:f>IF(B97&lt;Assumptions!$B$6,"APPROVE_RECOMMENDATION",IF(B97&lt;Assumptions!$B$7,"REFER","DECLINE_RECOMMENDATION"))</x:f>
        <x:v>DECLINE_RECOMMENDATION</x:v>
      </x:c>
      <x:c r="F97" s="77" t="str">
        <x:f>IF(E97="APPROVE_RECOMMENDATION","NO","YES")</x:f>
        <x:v>YES</x:v>
      </x:c>
      <x:c r="G97" s="78" t="n">
        <x:f>B97*Assumptions!$B$8*C97</x:f>
        <x:v>2717.1411620128465</x:v>
      </x:c>
      <x:c r="H97" s="14" t="str">
        <x:v>F</x:v>
      </x:c>
      <x:c r="I97" s="73" t="n">
        <x:v>497</x:v>
      </x:c>
    </x:row>
    <x:row r="98">
      <x:c r="A98" s="14" t="str">
        <x:v>APP-0024756</x:v>
      </x:c>
      <x:c r="B98" s="67" t="n">
        <x:v>0.0783271955095543</x:v>
      </x:c>
      <x:c r="C98" s="70" t="n">
        <x:v>102908.23</x:v>
      </x:c>
      <x:c r="D98" s="73" t="n">
        <x:v>0</x:v>
      </x:c>
      <x:c r="E98" s="77" t="str">
        <x:f>IF(B98&lt;Assumptions!$B$6,"APPROVE_RECOMMENDATION",IF(B98&lt;Assumptions!$B$7,"REFER","DECLINE_RECOMMENDATION"))</x:f>
        <x:v>APPROVE_RECOMMENDATION</x:v>
      </x:c>
      <x:c r="F98" s="77" t="str">
        <x:f>IF(E98="APPROVE_RECOMMENDATION","NO","YES")</x:f>
        <x:v>NO</x:v>
      </x:c>
      <x:c r="G98" s="78" t="n">
        <x:f>B98*Assumptions!$B$8*C98</x:f>
        <x:v>3627.230872838482</x:v>
      </x:c>
      <x:c r="H98" s="14" t="str">
        <x:v>C</x:v>
      </x:c>
      <x:c r="I98" s="73" t="n">
        <x:v>669</x:v>
      </x:c>
    </x:row>
    <x:row r="99">
      <x:c r="A99" s="14" t="str">
        <x:v>APP-0025021</x:v>
      </x:c>
      <x:c r="B99" s="67" t="n">
        <x:v>0.03301587834689558</x:v>
      </x:c>
      <x:c r="C99" s="70" t="n">
        <x:v>84179.78</x:v>
      </x:c>
      <x:c r="D99" s="73" t="n">
        <x:v>0</x:v>
      </x:c>
      <x:c r="E99" s="77" t="str">
        <x:f>IF(B99&lt;Assumptions!$B$6,"APPROVE_RECOMMENDATION",IF(B99&lt;Assumptions!$B$7,"REFER","DECLINE_RECOMMENDATION"))</x:f>
        <x:v>APPROVE_RECOMMENDATION</x:v>
      </x:c>
      <x:c r="F99" s="77" t="str">
        <x:f>IF(E99="APPROVE_RECOMMENDATION","NO","YES")</x:f>
        <x:v>NO</x:v>
      </x:c>
      <x:c r="G99" s="78" t="n">
        <x:f>B99*Assumptions!$B$8*C99</x:f>
        <x:v>1250.6712190867952</x:v>
      </x:c>
      <x:c r="H99" s="14" t="str">
        <x:v>B</x:v>
      </x:c>
      <x:c r="I99" s="73" t="n">
        <x:v>735</x:v>
      </x:c>
    </x:row>
    <x:row r="100">
      <x:c r="A100" s="14" t="str">
        <x:v>APP-0026781</x:v>
      </x:c>
      <x:c r="B100" s="67" t="n">
        <x:v>0.054682776337366124</x:v>
      </x:c>
      <x:c r="C100" s="70" t="n">
        <x:v>40192.24</x:v>
      </x:c>
      <x:c r="D100" s="73" t="n">
        <x:v>1</x:v>
      </x:c>
      <x:c r="E100" s="77" t="str">
        <x:f>IF(B100&lt;Assumptions!$B$6,"APPROVE_RECOMMENDATION",IF(B100&lt;Assumptions!$B$7,"REFER","DECLINE_RECOMMENDATION"))</x:f>
        <x:v>APPROVE_RECOMMENDATION</x:v>
      </x:c>
      <x:c r="F100" s="77" t="str">
        <x:f>IF(E100="APPROVE_RECOMMENDATION","NO","YES")</x:f>
        <x:v>NO</x:v>
      </x:c>
      <x:c r="G100" s="78" t="n">
        <x:f>B100*Assumptions!$B$8*C100</x:f>
        <x:v>989.020471687983</x:v>
      </x:c>
      <x:c r="H100" s="14" t="str">
        <x:v>B</x:v>
      </x:c>
      <x:c r="I100" s="73" t="n">
        <x:v>697</x:v>
      </x:c>
    </x:row>
    <x:row r="101">
      <x:c r="A101" s="14" t="str">
        <x:v>APP-0026836</x:v>
      </x:c>
      <x:c r="B101" s="67" t="n">
        <x:v>0.06318643660513576</x:v>
      </x:c>
      <x:c r="C101" s="70" t="n">
        <x:v>14329.95</x:v>
      </x:c>
      <x:c r="D101" s="73" t="n">
        <x:v>0</x:v>
      </x:c>
      <x:c r="E101" s="77" t="str">
        <x:f>IF(B101&lt;Assumptions!$B$6,"APPROVE_RECOMMENDATION",IF(B101&lt;Assumptions!$B$7,"REFER","DECLINE_RECOMMENDATION"))</x:f>
        <x:v>APPROVE_RECOMMENDATION</x:v>
      </x:c>
      <x:c r="F101" s="77" t="str">
        <x:f>IF(E101="APPROVE_RECOMMENDATION","NO","YES")</x:f>
        <x:v>NO</x:v>
      </x:c>
      <x:c r="G101" s="78" t="n">
        <x:f>B101*Assumptions!$B$8*C101</x:f>
        <x:v>407.4563147533944</x:v>
      </x:c>
      <x:c r="H101" s="14" t="str">
        <x:v>C</x:v>
      </x:c>
      <x:c r="I101" s="73" t="n">
        <x:v>686</x:v>
      </x:c>
    </x:row>
    <x:row r="102">
      <x:c r="A102" s="14" t="str">
        <x:v>APP-0027887</x:v>
      </x:c>
      <x:c r="B102" s="67" t="n">
        <x:v>0.16686457077120437</x:v>
      </x:c>
      <x:c r="C102" s="70" t="n">
        <x:v>22765.62</x:v>
      </x:c>
      <x:c r="D102" s="73" t="n">
        <x:v>0</x:v>
      </x:c>
      <x:c r="E102" s="77" t="str">
        <x:f>IF(B102&lt;Assumptions!$B$6,"APPROVE_RECOMMENDATION",IF(B102&lt;Assumptions!$B$7,"REFER","DECLINE_RECOMMENDATION"))</x:f>
        <x:v>REFER</x:v>
      </x:c>
      <x:c r="F102" s="77" t="str">
        <x:f>IF(E102="APPROVE_RECOMMENDATION","NO","YES")</x:f>
        <x:v>YES</x:v>
      </x:c>
      <x:c r="G102" s="78" t="n">
        <x:f>B102*Assumptions!$B$8*C102</x:f>
        <x:v>1709.4489343381554</x:v>
      </x:c>
      <x:c r="H102" s="14" t="str">
        <x:v>E</x:v>
      </x:c>
      <x:c r="I102" s="73" t="n">
        <x:v>607</x:v>
      </x:c>
    </x:row>
    <x:row r="103">
      <x:c r="A103" s="14" t="str">
        <x:v>APP-0029119</x:v>
      </x:c>
      <x:c r="B103" s="67" t="n">
        <x:v>0.0790389221190821</x:v>
      </x:c>
      <x:c r="C103" s="70" t="n">
        <x:v>48510.48</x:v>
      </x:c>
      <x:c r="D103" s="73" t="n">
        <x:v>0</x:v>
      </x:c>
      <x:c r="E103" s="77" t="str">
        <x:f>IF(B103&lt;Assumptions!$B$6,"APPROVE_RECOMMENDATION",IF(B103&lt;Assumptions!$B$7,"REFER","DECLINE_RECOMMENDATION"))</x:f>
        <x:v>APPROVE_RECOMMENDATION</x:v>
      </x:c>
      <x:c r="F103" s="77" t="str">
        <x:f>IF(E103="APPROVE_RECOMMENDATION","NO","YES")</x:f>
        <x:v>NO</x:v>
      </x:c>
      <x:c r="G103" s="78" t="n">
        <x:f>B103*Assumptions!$B$8*C103</x:f>
        <x:v>1725.3972228056807</x:v>
      </x:c>
      <x:c r="H103" s="14" t="str">
        <x:v>C</x:v>
      </x:c>
      <x:c r="I103" s="73" t="n">
        <x:v>669</x:v>
      </x:c>
    </x:row>
    <x:row r="104">
      <x:c r="A104" s="14" t="str">
        <x:v>APP-0036152</x:v>
      </x:c>
      <x:c r="B104" s="67" t="n">
        <x:v>0.07357462129463341</x:v>
      </x:c>
      <x:c r="C104" s="70" t="n">
        <x:v>49784.23</x:v>
      </x:c>
      <x:c r="D104" s="73" t="n">
        <x:v>0</x:v>
      </x:c>
      <x:c r="E104" s="77" t="str">
        <x:f>IF(B104&lt;Assumptions!$B$6,"APPROVE_RECOMMENDATION",IF(B104&lt;Assumptions!$B$7,"REFER","DECLINE_RECOMMENDATION"))</x:f>
        <x:v>APPROVE_RECOMMENDATION</x:v>
      </x:c>
      <x:c r="F104" s="77" t="str">
        <x:f>IF(E104="APPROVE_RECOMMENDATION","NO","YES")</x:f>
        <x:v>NO</x:v>
      </x:c>
      <x:c r="G104" s="78" t="n">
        <x:f>B104*Assumptions!$B$8*C104</x:f>
        <x:v>1648.2851409127175</x:v>
      </x:c>
      <x:c r="H104" s="14" t="str">
        <x:v>C</x:v>
      </x:c>
      <x:c r="I104" s="73" t="n">
        <x:v>674</x:v>
      </x:c>
    </x:row>
    <x:row r="105">
      <x:c r="A105" s="14" t="str">
        <x:v>APP-0038334</x:v>
      </x:c>
      <x:c r="B105" s="67" t="n">
        <x:v>0.19903408591879276</x:v>
      </x:c>
      <x:c r="C105" s="70" t="n">
        <x:v>29154.4</x:v>
      </x:c>
      <x:c r="D105" s="73" t="n">
        <x:v>0</x:v>
      </x:c>
      <x:c r="E105" s="77" t="str">
        <x:f>IF(B105&lt;Assumptions!$B$6,"APPROVE_RECOMMENDATION",IF(B105&lt;Assumptions!$B$7,"REFER","DECLINE_RECOMMENDATION"))</x:f>
        <x:v>REFER</x:v>
      </x:c>
      <x:c r="F105" s="77" t="str">
        <x:f>IF(E105="APPROVE_RECOMMENDATION","NO","YES")</x:f>
        <x:v>YES</x:v>
      </x:c>
      <x:c r="G105" s="78" t="n">
        <x:f>B105*Assumptions!$B$8*C105</x:f>
        <x:v>2611.2237095298833</x:v>
      </x:c>
      <x:c r="H105" s="14" t="str">
        <x:v>E</x:v>
      </x:c>
      <x:c r="I105" s="73" t="n">
        <x:v>592</x:v>
      </x:c>
    </x:row>
    <x:row r="106">
      <x:c r="A106" s="14" t="str">
        <x:v>APP-0040846</x:v>
      </x:c>
      <x:c r="B106" s="67" t="n">
        <x:v>0.41713205667086023</x:v>
      </x:c>
      <x:c r="C106" s="70" t="n">
        <x:v>28142.99</x:v>
      </x:c>
      <x:c r="D106" s="73" t="n">
        <x:v>0</x:v>
      </x:c>
      <x:c r="E106" s="77" t="str">
        <x:f>IF(B106&lt;Assumptions!$B$6,"APPROVE_RECOMMENDATION",IF(B106&lt;Assumptions!$B$7,"REFER","DECLINE_RECOMMENDATION"))</x:f>
        <x:v>DECLINE_RECOMMENDATION</x:v>
      </x:c>
      <x:c r="F106" s="77" t="str">
        <x:f>IF(E106="APPROVE_RECOMMENDATION","NO","YES")</x:f>
        <x:v>YES</x:v>
      </x:c>
      <x:c r="G106" s="78" t="n">
        <x:f>B106*Assumptions!$B$8*C106</x:f>
        <x:v>5282.704484805354</x:v>
      </x:c>
      <x:c r="H106" s="14" t="str">
        <x:v>F</x:v>
      </x:c>
      <x:c r="I106" s="73" t="n">
        <x:v>516</x:v>
      </x:c>
    </x:row>
    <x:row r="107">
      <x:c r="A107" s="14" t="str">
        <x:v>APP-0041332</x:v>
      </x:c>
      <x:c r="B107" s="67" t="n">
        <x:v>0.0800870374170016</x:v>
      </x:c>
      <x:c r="C107" s="70" t="n">
        <x:v>22438.51</x:v>
      </x:c>
      <x:c r="D107" s="73" t="n">
        <x:v>0</x:v>
      </x:c>
      <x:c r="E107" s="77" t="str">
        <x:f>IF(B107&lt;Assumptions!$B$6,"APPROVE_RECOMMENDATION",IF(B107&lt;Assumptions!$B$7,"REFER","DECLINE_RECOMMENDATION"))</x:f>
        <x:v>APPROVE_RECOMMENDATION</x:v>
      </x:c>
      <x:c r="F107" s="77" t="str">
        <x:f>IF(E107="APPROVE_RECOMMENDATION","NO","YES")</x:f>
        <x:v>NO</x:v>
      </x:c>
      <x:c r="G107" s="78" t="n">
        <x:f>B107*Assumptions!$B$8*C107</x:f>
        <x:v>808.6652054782941</x:v>
      </x:c>
      <x:c r="H107" s="14" t="str">
        <x:v>C</x:v>
      </x:c>
      <x:c r="I107" s="73" t="n">
        <x:v>668</x:v>
      </x:c>
    </x:row>
    <x:row r="108">
      <x:c r="A108" s="14" t="str">
        <x:v>APP-0043192</x:v>
      </x:c>
      <x:c r="B108" s="67" t="n">
        <x:v>0.03963682810723201</x:v>
      </x:c>
      <x:c r="C108" s="70" t="n">
        <x:v>10000</x:v>
      </x:c>
      <x:c r="D108" s="73" t="n">
        <x:v>0</x:v>
      </x:c>
      <x:c r="E108" s="77" t="str">
        <x:f>IF(B108&lt;Assumptions!$B$6,"APPROVE_RECOMMENDATION",IF(B108&lt;Assumptions!$B$7,"REFER","DECLINE_RECOMMENDATION"))</x:f>
        <x:v>APPROVE_RECOMMENDATION</x:v>
      </x:c>
      <x:c r="F108" s="77" t="str">
        <x:f>IF(E108="APPROVE_RECOMMENDATION","NO","YES")</x:f>
        <x:v>NO</x:v>
      </x:c>
      <x:c r="G108" s="78" t="n">
        <x:f>B108*Assumptions!$B$8*C108</x:f>
        <x:v>178.36572648254403</x:v>
      </x:c>
      <x:c r="H108" s="14" t="str">
        <x:v>B</x:v>
      </x:c>
      <x:c r="I108" s="73" t="n">
        <x:v>721</x:v>
      </x:c>
    </x:row>
    <x:row r="109">
      <x:c r="A109" s="14" t="str">
        <x:v>APP-0043934</x:v>
      </x:c>
      <x:c r="B109" s="67" t="n">
        <x:v>0.3562885233009306</x:v>
      </x:c>
      <x:c r="C109" s="70" t="n">
        <x:v>27555.05</x:v>
      </x:c>
      <x:c r="D109" s="73" t="n">
        <x:v>1</x:v>
      </x:c>
      <x:c r="E109" s="77" t="str">
        <x:f>IF(B109&lt;Assumptions!$B$6,"APPROVE_RECOMMENDATION",IF(B109&lt;Assumptions!$B$7,"REFER","DECLINE_RECOMMENDATION"))</x:f>
        <x:v>DECLINE_RECOMMENDATION</x:v>
      </x:c>
      <x:c r="F109" s="77" t="str">
        <x:f>IF(E109="APPROVE_RECOMMENDATION","NO","YES")</x:f>
        <x:v>YES</x:v>
      </x:c>
      <x:c r="G109" s="78" t="n">
        <x:f>B109*Assumptions!$B$8*C109</x:f>
        <x:v>4417.896633292488</x:v>
      </x:c>
      <x:c r="H109" s="14" t="str">
        <x:v>F</x:v>
      </x:c>
      <x:c r="I109" s="73" t="n">
        <x:v>534</x:v>
      </x:c>
    </x:row>
    <x:row r="110">
      <x:c r="A110" s="14" t="str">
        <x:v>APP-0044067</x:v>
      </x:c>
      <x:c r="B110" s="67" t="n">
        <x:v>0.13914999673662454</x:v>
      </x:c>
      <x:c r="C110" s="70" t="n">
        <x:v>137195.79</x:v>
      </x:c>
      <x:c r="D110" s="73" t="n">
        <x:v>0</x:v>
      </x:c>
      <x:c r="E110" s="77" t="str">
        <x:f>IF(B110&lt;Assumptions!$B$6,"APPROVE_RECOMMENDATION",IF(B110&lt;Assumptions!$B$7,"REFER","DECLINE_RECOMMENDATION"))</x:f>
        <x:v>REFER</x:v>
      </x:c>
      <x:c r="F110" s="77" t="str">
        <x:f>IF(E110="APPROVE_RECOMMENDATION","NO","YES")</x:f>
        <x:v>YES</x:v>
      </x:c>
      <x:c r="G110" s="78" t="n">
        <x:f>B110*Assumptions!$B$8*C110</x:f>
        <x:v>8590.857178850383</x:v>
      </x:c>
      <x:c r="H110" s="14" t="str">
        <x:v>D</x:v>
      </x:c>
      <x:c r="I110" s="73" t="n">
        <x:v>623</x:v>
      </x:c>
    </x:row>
    <x:row r="111">
      <x:c r="A111" s="14" t="str">
        <x:v>APP-0044497</x:v>
      </x:c>
      <x:c r="B111" s="67" t="n">
        <x:v>0.0513053443017823</x:v>
      </x:c>
      <x:c r="C111" s="70" t="n">
        <x:v>21557.45</x:v>
      </x:c>
      <x:c r="D111" s="73" t="n">
        <x:v>0</x:v>
      </x:c>
      <x:c r="E111" s="77" t="str">
        <x:f>IF(B111&lt;Assumptions!$B$6,"APPROVE_RECOMMENDATION",IF(B111&lt;Assumptions!$B$7,"REFER","DECLINE_RECOMMENDATION"))</x:f>
        <x:v>APPROVE_RECOMMENDATION</x:v>
      </x:c>
      <x:c r="F111" s="77" t="str">
        <x:f>IF(E111="APPROVE_RECOMMENDATION","NO","YES")</x:f>
        <x:v>NO</x:v>
      </x:c>
      <x:c r="G111" s="78" t="n">
        <x:f>B111*Assumptions!$B$8*C111</x:f>
        <x:v>497.7055775333056</x:v>
      </x:c>
      <x:c r="H111" s="14" t="str">
        <x:v>B</x:v>
      </x:c>
      <x:c r="I111" s="73" t="n">
        <x:v>702</x:v>
      </x:c>
    </x:row>
    <x:row r="112">
      <x:c r="A112" s="14" t="str">
        <x:v>APP-0045561</x:v>
      </x:c>
      <x:c r="B112" s="67" t="n">
        <x:v>0.17017978591684632</x:v>
      </x:c>
      <x:c r="C112" s="70" t="n">
        <x:v>10000</x:v>
      </x:c>
      <x:c r="D112" s="73" t="n">
        <x:v>1</x:v>
      </x:c>
      <x:c r="E112" s="77" t="str">
        <x:f>IF(B112&lt;Assumptions!$B$6,"APPROVE_RECOMMENDATION",IF(B112&lt;Assumptions!$B$7,"REFER","DECLINE_RECOMMENDATION"))</x:f>
        <x:v>REFER</x:v>
      </x:c>
      <x:c r="F112" s="77" t="str">
        <x:f>IF(E112="APPROVE_RECOMMENDATION","NO","YES")</x:f>
        <x:v>YES</x:v>
      </x:c>
      <x:c r="G112" s="78" t="n">
        <x:f>B112*Assumptions!$B$8*C112</x:f>
        <x:v>765.8090366258084</x:v>
      </x:c>
      <x:c r="H112" s="14" t="str">
        <x:v>E</x:v>
      </x:c>
      <x:c r="I112" s="73" t="n">
        <x:v>606</x:v>
      </x:c>
    </x:row>
    <x:row r="113">
      <x:c r="A113" s="14" t="str">
        <x:v>APP-0046692</x:v>
      </x:c>
      <x:c r="B113" s="67" t="n">
        <x:v>0.4640898629320375</x:v>
      </x:c>
      <x:c r="C113" s="70" t="n">
        <x:v>10000</x:v>
      </x:c>
      <x:c r="D113" s="73" t="n">
        <x:v>0</x:v>
      </x:c>
      <x:c r="E113" s="77" t="str">
        <x:f>IF(B113&lt;Assumptions!$B$6,"APPROVE_RECOMMENDATION",IF(B113&lt;Assumptions!$B$7,"REFER","DECLINE_RECOMMENDATION"))</x:f>
        <x:v>DECLINE_RECOMMENDATION</x:v>
      </x:c>
      <x:c r="F113" s="77" t="str">
        <x:f>IF(E113="APPROVE_RECOMMENDATION","NO","YES")</x:f>
        <x:v>YES</x:v>
      </x:c>
      <x:c r="G113" s="78" t="n">
        <x:f>B113*Assumptions!$B$8*C113</x:f>
        <x:v>2088.404383194169</x:v>
      </x:c>
      <x:c r="H113" s="14" t="str">
        <x:v>F</x:v>
      </x:c>
      <x:c r="I113" s="73" t="n">
        <x:v>502</x:v>
      </x:c>
    </x:row>
    <x:row r="114">
      <x:c r="A114" s="14" t="str">
        <x:v>APP-0047821</x:v>
      </x:c>
      <x:c r="B114" s="67" t="n">
        <x:v>0.06705898940534331</x:v>
      </x:c>
      <x:c r="C114" s="70" t="n">
        <x:v>40571.77</x:v>
      </x:c>
      <x:c r="D114" s="73" t="n">
        <x:v>0</x:v>
      </x:c>
      <x:c r="E114" s="77" t="str">
        <x:f>IF(B114&lt;Assumptions!$B$6,"APPROVE_RECOMMENDATION",IF(B114&lt;Assumptions!$B$7,"REFER","DECLINE_RECOMMENDATION"))</x:f>
        <x:v>APPROVE_RECOMMENDATION</x:v>
      </x:c>
      <x:c r="F114" s="77" t="str">
        <x:f>IF(E114="APPROVE_RECOMMENDATION","NO","YES")</x:f>
        <x:v>NO</x:v>
      </x:c>
      <x:c r="G114" s="78" t="n">
        <x:f>B114*Assumptions!$B$8*C114</x:f>
        <x:v>1224.3158525637114</x:v>
      </x:c>
      <x:c r="H114" s="14" t="str">
        <x:v>C</x:v>
      </x:c>
      <x:c r="I114" s="73" t="n">
        <x:v>681</x:v>
      </x:c>
    </x:row>
    <x:row r="115">
      <x:c r="A115" s="14" t="str">
        <x:v>APP-0000491</x:v>
      </x:c>
      <x:c r="B115" s="67" t="n">
        <x:v>0.08780501584347465</x:v>
      </x:c>
      <x:c r="C115" s="70" t="n">
        <x:v>14940.49</x:v>
      </x:c>
      <x:c r="D115" s="73" t="n">
        <x:v>0</x:v>
      </x:c>
      <x:c r="E115" s="77" t="str">
        <x:f>IF(B115&lt;Assumptions!$B$6,"APPROVE_RECOMMENDATION",IF(B115&lt;Assumptions!$B$7,"REFER","DECLINE_RECOMMENDATION"))</x:f>
        <x:v>APPROVE_RECOMMENDATION</x:v>
      </x:c>
      <x:c r="F115" s="77" t="str">
        <x:f>IF(E115="APPROVE_RECOMMENDATION","NO","YES")</x:f>
        <x:v>NO</x:v>
      </x:c>
      <x:c r="G115" s="78" t="n">
        <x:f>B115*Assumptions!$B$8*C115</x:f>
        <x:v>590.3324825216736</x:v>
      </x:c>
      <x:c r="H115" s="14" t="str">
        <x:v>C</x:v>
      </x:c>
      <x:c r="I115" s="73" t="n">
        <x:v>660</x:v>
      </x:c>
    </x:row>
    <x:row r="116">
      <x:c r="A116" s="14" t="str">
        <x:v>APP-0001168</x:v>
      </x:c>
      <x:c r="B116" s="67" t="n">
        <x:v>0.023279349344590337</x:v>
      </x:c>
      <x:c r="C116" s="70" t="n">
        <x:v>10000</x:v>
      </x:c>
      <x:c r="D116" s="73" t="n">
        <x:v>0</x:v>
      </x:c>
      <x:c r="E116" s="77" t="str">
        <x:f>IF(B116&lt;Assumptions!$B$6,"APPROVE_RECOMMENDATION",IF(B116&lt;Assumptions!$B$7,"REFER","DECLINE_RECOMMENDATION"))</x:f>
        <x:v>APPROVE_RECOMMENDATION</x:v>
      </x:c>
      <x:c r="F116" s="77" t="str">
        <x:f>IF(E116="APPROVE_RECOMMENDATION","NO","YES")</x:f>
        <x:v>NO</x:v>
      </x:c>
      <x:c r="G116" s="78" t="n">
        <x:f>B116*Assumptions!$B$8*C116</x:f>
        <x:v>104.7570720506565</x:v>
      </x:c>
      <x:c r="H116" s="14" t="str">
        <x:v>A</x:v>
      </x:c>
      <x:c r="I116" s="73" t="n">
        <x:v>761</x:v>
      </x:c>
    </x:row>
    <x:row r="117">
      <x:c r="A117" s="14" t="str">
        <x:v>APP-0001423</x:v>
      </x:c>
      <x:c r="B117" s="67" t="n">
        <x:v>0.04420415838742119</x:v>
      </x:c>
      <x:c r="C117" s="70" t="n">
        <x:v>48732.1</x:v>
      </x:c>
      <x:c r="D117" s="73" t="n">
        <x:v>0</x:v>
      </x:c>
      <x:c r="E117" s="77" t="str">
        <x:f>IF(B117&lt;Assumptions!$B$6,"APPROVE_RECOMMENDATION",IF(B117&lt;Assumptions!$B$7,"REFER","DECLINE_RECOMMENDATION"))</x:f>
        <x:v>APPROVE_RECOMMENDATION</x:v>
      </x:c>
      <x:c r="F117" s="77" t="str">
        <x:f>IF(E117="APPROVE_RECOMMENDATION","NO","YES")</x:f>
        <x:v>NO</x:v>
      </x:c>
      <x:c r="G117" s="78" t="n">
        <x:f>B117*Assumptions!$B$8*C117</x:f>
        <x:v>969.3726601282417</x:v>
      </x:c>
      <x:c r="H117" s="14" t="str">
        <x:v>B</x:v>
      </x:c>
      <x:c r="I117" s="73" t="n">
        <x:v>713</x:v>
      </x:c>
    </x:row>
    <x:row r="118">
      <x:c r="A118" s="14" t="str">
        <x:v>APP-0003287</x:v>
      </x:c>
      <x:c r="B118" s="67" t="n">
        <x:v>0.0536322024614926</x:v>
      </x:c>
      <x:c r="C118" s="70" t="n">
        <x:v>10000</x:v>
      </x:c>
      <x:c r="D118" s="73" t="n">
        <x:v>0</x:v>
      </x:c>
      <x:c r="E118" s="77" t="str">
        <x:f>IF(B118&lt;Assumptions!$B$6,"APPROVE_RECOMMENDATION",IF(B118&lt;Assumptions!$B$7,"REFER","DECLINE_RECOMMENDATION"))</x:f>
        <x:v>APPROVE_RECOMMENDATION</x:v>
      </x:c>
      <x:c r="F118" s="77" t="str">
        <x:f>IF(E118="APPROVE_RECOMMENDATION","NO","YES")</x:f>
        <x:v>NO</x:v>
      </x:c>
      <x:c r="G118" s="78" t="n">
        <x:f>B118*Assumptions!$B$8*C118</x:f>
        <x:v>241.3449110767167</x:v>
      </x:c>
      <x:c r="H118" s="14" t="str">
        <x:v>B</x:v>
      </x:c>
      <x:c r="I118" s="73" t="n">
        <x:v>699</x:v>
      </x:c>
    </x:row>
    <x:row r="119">
      <x:c r="A119" s="14" t="str">
        <x:v>APP-0005129</x:v>
      </x:c>
      <x:c r="B119" s="67" t="n">
        <x:v>0.1430453046729243</x:v>
      </x:c>
      <x:c r="C119" s="70" t="n">
        <x:v>10000</x:v>
      </x:c>
      <x:c r="D119" s="73" t="n">
        <x:v>0</x:v>
      </x:c>
      <x:c r="E119" s="77" t="str">
        <x:f>IF(B119&lt;Assumptions!$B$6,"APPROVE_RECOMMENDATION",IF(B119&lt;Assumptions!$B$7,"REFER","DECLINE_RECOMMENDATION"))</x:f>
        <x:v>REFER</x:v>
      </x:c>
      <x:c r="F119" s="77" t="str">
        <x:f>IF(E119="APPROVE_RECOMMENDATION","NO","YES")</x:f>
        <x:v>YES</x:v>
      </x:c>
      <x:c r="G119" s="78" t="n">
        <x:f>B119*Assumptions!$B$8*C119</x:f>
        <x:v>643.7038710281594</x:v>
      </x:c>
      <x:c r="H119" s="14" t="str">
        <x:v>D</x:v>
      </x:c>
      <x:c r="I119" s="73" t="n">
        <x:v>621</x:v>
      </x:c>
    </x:row>
    <x:row r="120">
      <x:c r="A120" s="14" t="str">
        <x:v>APP-0006159</x:v>
      </x:c>
      <x:c r="B120" s="67" t="n">
        <x:v>0.2568281331410616</x:v>
      </x:c>
      <x:c r="C120" s="70" t="n">
        <x:v>122314.65</x:v>
      </x:c>
      <x:c r="D120" s="73" t="n">
        <x:v>0</x:v>
      </x:c>
      <x:c r="E120" s="77" t="str">
        <x:f>IF(B120&lt;Assumptions!$B$6,"APPROVE_RECOMMENDATION",IF(B120&lt;Assumptions!$B$7,"REFER","DECLINE_RECOMMENDATION"))</x:f>
        <x:v>DECLINE_RECOMMENDATION</x:v>
      </x:c>
      <x:c r="F120" s="77" t="str">
        <x:f>IF(E120="APPROVE_RECOMMENDATION","NO","YES")</x:f>
        <x:v>YES</x:v>
      </x:c>
      <x:c r="G120" s="78" t="n">
        <x:f>B120*Assumptions!$B$8*C120</x:f>
        <x:v>14136.229446886058</x:v>
      </x:c>
      <x:c r="H120" s="14" t="str">
        <x:v>F</x:v>
      </x:c>
      <x:c r="I120" s="73" t="n">
        <x:v>568</x:v>
      </x:c>
    </x:row>
    <x:row r="121">
      <x:c r="A121" s="14" t="str">
        <x:v>APP-0006708</x:v>
      </x:c>
      <x:c r="B121" s="67" t="n">
        <x:v>0.2635291114995867</x:v>
      </x:c>
      <x:c r="C121" s="70" t="n">
        <x:v>61576.39</x:v>
      </x:c>
      <x:c r="D121" s="73" t="n">
        <x:v>0</x:v>
      </x:c>
      <x:c r="E121" s="77" t="str">
        <x:f>IF(B121&lt;Assumptions!$B$6,"APPROVE_RECOMMENDATION",IF(B121&lt;Assumptions!$B$7,"REFER","DECLINE_RECOMMENDATION"))</x:f>
        <x:v>DECLINE_RECOMMENDATION</x:v>
      </x:c>
      <x:c r="F121" s="77" t="str">
        <x:f>IF(E121="APPROVE_RECOMMENDATION","NO","YES")</x:f>
        <x:v>YES</x:v>
      </x:c>
      <x:c r="G121" s="78" t="n">
        <x:f>B121*Assumptions!$B$8*C121</x:f>
        <x:v>7302.227105723416</x:v>
      </x:c>
      <x:c r="H121" s="14" t="str">
        <x:v>F</x:v>
      </x:c>
      <x:c r="I121" s="73" t="n">
        <x:v>566</x:v>
      </x:c>
    </x:row>
    <x:row r="122">
      <x:c r="A122" s="14" t="str">
        <x:v>APP-0006850</x:v>
      </x:c>
      <x:c r="B122" s="67" t="n">
        <x:v>0.04336825800575913</x:v>
      </x:c>
      <x:c r="C122" s="70" t="n">
        <x:v>136130.47</x:v>
      </x:c>
      <x:c r="D122" s="73" t="n">
        <x:v>0</x:v>
      </x:c>
      <x:c r="E122" s="77" t="str">
        <x:f>IF(B122&lt;Assumptions!$B$6,"APPROVE_RECOMMENDATION",IF(B122&lt;Assumptions!$B$7,"REFER","DECLINE_RECOMMENDATION"))</x:f>
        <x:v>APPROVE_RECOMMENDATION</x:v>
      </x:c>
      <x:c r="F122" s="77" t="str">
        <x:f>IF(E122="APPROVE_RECOMMENDATION","NO","YES")</x:f>
        <x:v>NO</x:v>
      </x:c>
      <x:c r="G122" s="78" t="n">
        <x:f>B122*Assumptions!$B$8*C122</x:f>
        <x:v>2656.683605432364</x:v>
      </x:c>
      <x:c r="H122" s="14" t="str">
        <x:v>B</x:v>
      </x:c>
      <x:c r="I122" s="73" t="n">
        <x:v>715</x:v>
      </x:c>
    </x:row>
    <x:row r="123">
      <x:c r="A123" s="14" t="str">
        <x:v>APP-0008187</x:v>
      </x:c>
      <x:c r="B123" s="67" t="n">
        <x:v>0.14619562450437776</x:v>
      </x:c>
      <x:c r="C123" s="70" t="n">
        <x:v>127310.47</x:v>
      </x:c>
      <x:c r="D123" s="73" t="n">
        <x:v>0</x:v>
      </x:c>
      <x:c r="E123" s="77" t="str">
        <x:f>IF(B123&lt;Assumptions!$B$6,"APPROVE_RECOMMENDATION",IF(B123&lt;Assumptions!$B$7,"REFER","DECLINE_RECOMMENDATION"))</x:f>
        <x:v>REFER</x:v>
      </x:c>
      <x:c r="F123" s="77" t="str">
        <x:f>IF(E123="APPROVE_RECOMMENDATION","NO","YES")</x:f>
        <x:v>YES</x:v>
      </x:c>
      <x:c r="G123" s="78" t="n">
        <x:f>B123*Assumptions!$B$8*C123</x:f>
        <x:v>8375.505150418132</x:v>
      </x:c>
      <x:c r="H123" s="14" t="str">
        <x:v>D</x:v>
      </x:c>
      <x:c r="I123" s="73" t="n">
        <x:v>619</x:v>
      </x:c>
    </x:row>
    <x:row r="124">
      <x:c r="A124" s="14" t="str">
        <x:v>APP-0009417</x:v>
      </x:c>
      <x:c r="B124" s="67" t="n">
        <x:v>0.10426938743319414</x:v>
      </x:c>
      <x:c r="C124" s="70" t="n">
        <x:v>10000</x:v>
      </x:c>
      <x:c r="D124" s="73" t="n">
        <x:v>0</x:v>
      </x:c>
      <x:c r="E124" s="77" t="str">
        <x:f>IF(B124&lt;Assumptions!$B$6,"APPROVE_RECOMMENDATION",IF(B124&lt;Assumptions!$B$7,"REFER","DECLINE_RECOMMENDATION"))</x:f>
        <x:v>REFER</x:v>
      </x:c>
      <x:c r="F124" s="77" t="str">
        <x:f>IF(E124="APPROVE_RECOMMENDATION","NO","YES")</x:f>
        <x:v>YES</x:v>
      </x:c>
      <x:c r="G124" s="78" t="n">
        <x:f>B124*Assumptions!$B$8*C124</x:f>
        <x:v>469.2122434493736</x:v>
      </x:c>
      <x:c r="H124" s="14" t="str">
        <x:v>D</x:v>
      </x:c>
      <x:c r="I124" s="73" t="n">
        <x:v>647</x:v>
      </x:c>
    </x:row>
    <x:row r="125">
      <x:c r="A125" s="14" t="str">
        <x:v>APP-0010017</x:v>
      </x:c>
      <x:c r="B125" s="67" t="n">
        <x:v>0.06282559093399732</x:v>
      </x:c>
      <x:c r="C125" s="70" t="n">
        <x:v>11938.32</x:v>
      </x:c>
      <x:c r="D125" s="73" t="n">
        <x:v>1</x:v>
      </x:c>
      <x:c r="E125" s="77" t="str">
        <x:f>IF(B125&lt;Assumptions!$B$6,"APPROVE_RECOMMENDATION",IF(B125&lt;Assumptions!$B$7,"REFER","DECLINE_RECOMMENDATION"))</x:f>
        <x:v>APPROVE_RECOMMENDATION</x:v>
      </x:c>
      <x:c r="F125" s="77" t="str">
        <x:f>IF(E125="APPROVE_RECOMMENDATION","NO","YES")</x:f>
        <x:v>NO</x:v>
      </x:c>
      <x:c r="G125" s="78" t="n">
        <x:f>B125*Assumptions!$B$8*C125</x:f>
        <x:v>337.51440394162154</x:v>
      </x:c>
      <x:c r="H125" s="14" t="str">
        <x:v>C</x:v>
      </x:c>
      <x:c r="I125" s="73" t="n">
        <x:v>686</x:v>
      </x:c>
    </x:row>
    <x:row r="126">
      <x:c r="A126" s="14" t="str">
        <x:v>APP-0010235</x:v>
      </x:c>
      <x:c r="B126" s="67" t="n">
        <x:v>0.21512387503889183</x:v>
      </x:c>
      <x:c r="C126" s="70" t="n">
        <x:v>10000</x:v>
      </x:c>
      <x:c r="D126" s="73" t="n">
        <x:v>0</x:v>
      </x:c>
      <x:c r="E126" s="77" t="str">
        <x:f>IF(B126&lt;Assumptions!$B$6,"APPROVE_RECOMMENDATION",IF(B126&lt;Assumptions!$B$7,"REFER","DECLINE_RECOMMENDATION"))</x:f>
        <x:v>REFER</x:v>
      </x:c>
      <x:c r="F126" s="77" t="str">
        <x:f>IF(E126="APPROVE_RECOMMENDATION","NO","YES")</x:f>
        <x:v>YES</x:v>
      </x:c>
      <x:c r="G126" s="78" t="n">
        <x:f>B126*Assumptions!$B$8*C126</x:f>
        <x:v>968.0574376750133</x:v>
      </x:c>
      <x:c r="H126" s="14" t="str">
        <x:v>E</x:v>
      </x:c>
      <x:c r="I126" s="73" t="n">
        <x:v>585</x:v>
      </x:c>
    </x:row>
    <x:row r="127">
      <x:c r="A127" s="14" t="str">
        <x:v>APP-0010675</x:v>
      </x:c>
      <x:c r="B127" s="67" t="n">
        <x:v>0.11779743001441569</x:v>
      </x:c>
      <x:c r="C127" s="70" t="n">
        <x:v>28396.04</x:v>
      </x:c>
      <x:c r="D127" s="73" t="n">
        <x:v>0</x:v>
      </x:c>
      <x:c r="E127" s="77" t="str">
        <x:f>IF(B127&lt;Assumptions!$B$6,"APPROVE_RECOMMENDATION",IF(B127&lt;Assumptions!$B$7,"REFER","DECLINE_RECOMMENDATION"))</x:f>
        <x:v>REFER</x:v>
      </x:c>
      <x:c r="F127" s="77" t="str">
        <x:f>IF(E127="APPROVE_RECOMMENDATION","NO","YES")</x:f>
        <x:v>YES</x:v>
      </x:c>
      <x:c r="G127" s="78" t="n">
        <x:f>B127*Assumptions!$B$8*C127</x:f>
        <x:v>1505.2412405639468</x:v>
      </x:c>
      <x:c r="H127" s="14" t="str">
        <x:v>D</x:v>
      </x:c>
      <x:c r="I127" s="73" t="n">
        <x:v>637</x:v>
      </x:c>
    </x:row>
    <x:row r="128">
      <x:c r="A128" s="14" t="str">
        <x:v>APP-0011212</x:v>
      </x:c>
      <x:c r="B128" s="67" t="n">
        <x:v>0.14435451129468704</x:v>
      </x:c>
      <x:c r="C128" s="70" t="n">
        <x:v>95725.9</x:v>
      </x:c>
      <x:c r="D128" s="73" t="n">
        <x:v>1</x:v>
      </x:c>
      <x:c r="E128" s="77" t="str">
        <x:f>IF(B128&lt;Assumptions!$B$6,"APPROVE_RECOMMENDATION",IF(B128&lt;Assumptions!$B$7,"REFER","DECLINE_RECOMMENDATION"))</x:f>
        <x:v>REFER</x:v>
      </x:c>
      <x:c r="F128" s="77" t="str">
        <x:f>IF(E128="APPROVE_RECOMMENDATION","NO","YES")</x:f>
        <x:v>YES</x:v>
      </x:c>
      <x:c r="G128" s="78" t="n">
        <x:f>B128*Assumptions!$B$8*C128</x:f>
        <x:v>6218.309480734837</x:v>
      </x:c>
      <x:c r="H128" s="14" t="str">
        <x:v>D</x:v>
      </x:c>
      <x:c r="I128" s="73" t="n">
        <x:v>620</x:v>
      </x:c>
    </x:row>
    <x:row r="129">
      <x:c r="A129" s="14" t="str">
        <x:v>APP-0011296</x:v>
      </x:c>
      <x:c r="B129" s="67" t="n">
        <x:v>0.09296518195530139</x:v>
      </x:c>
      <x:c r="C129" s="70" t="n">
        <x:v>117137.32</x:v>
      </x:c>
      <x:c r="D129" s="73" t="n">
        <x:v>0</x:v>
      </x:c>
      <x:c r="E129" s="77" t="str">
        <x:f>IF(B129&lt;Assumptions!$B$6,"APPROVE_RECOMMENDATION",IF(B129&lt;Assumptions!$B$7,"REFER","DECLINE_RECOMMENDATION"))</x:f>
        <x:v>APPROVE_RECOMMENDATION</x:v>
      </x:c>
      <x:c r="F129" s="77" t="str">
        <x:f>IF(E129="APPROVE_RECOMMENDATION","NO","YES")</x:f>
        <x:v>NO</x:v>
      </x:c>
      <x:c r="G129" s="78" t="n">
        <x:f>B129*Assumptions!$B$8*C129</x:f>
        <x:v>4900.3615204003645</x:v>
      </x:c>
      <x:c r="H129" s="14" t="str">
        <x:v>C</x:v>
      </x:c>
      <x:c r="I129" s="73" t="n">
        <x:v>656</x:v>
      </x:c>
    </x:row>
    <x:row r="130">
      <x:c r="A130" s="14" t="str">
        <x:v>APP-0013774</x:v>
      </x:c>
      <x:c r="B130" s="67" t="n">
        <x:v>0.08268477228491826</x:v>
      </x:c>
      <x:c r="C130" s="70" t="n">
        <x:v>20162.34</x:v>
      </x:c>
      <x:c r="D130" s="73" t="n">
        <x:v>0</x:v>
      </x:c>
      <x:c r="E130" s="77" t="str">
        <x:f>IF(B130&lt;Assumptions!$B$6,"APPROVE_RECOMMENDATION",IF(B130&lt;Assumptions!$B$7,"REFER","DECLINE_RECOMMENDATION"))</x:f>
        <x:v>APPROVE_RECOMMENDATION</x:v>
      </x:c>
      <x:c r="F130" s="77" t="str">
        <x:f>IF(E130="APPROVE_RECOMMENDATION","NO","YES")</x:f>
        <x:v>NO</x:v>
      </x:c>
      <x:c r="G130" s="78" t="n">
        <x:f>B130*Assumptions!$B$8*C130</x:f>
        <x:v>750.2033212339945</x:v>
      </x:c>
      <x:c r="H130" s="14" t="str">
        <x:v>C</x:v>
      </x:c>
      <x:c r="I130" s="73" t="n">
        <x:v>665</x:v>
      </x:c>
    </x:row>
    <x:row r="131">
      <x:c r="A131" s="14" t="str">
        <x:v>APP-0016711</x:v>
      </x:c>
      <x:c r="B131" s="67" t="n">
        <x:v>0.16866104940211588</x:v>
      </x:c>
      <x:c r="C131" s="70" t="n">
        <x:v>25376.02</x:v>
      </x:c>
      <x:c r="D131" s="73" t="n">
        <x:v>0</x:v>
      </x:c>
      <x:c r="E131" s="77" t="str">
        <x:f>IF(B131&lt;Assumptions!$B$6,"APPROVE_RECOMMENDATION",IF(B131&lt;Assumptions!$B$7,"REFER","DECLINE_RECOMMENDATION"))</x:f>
        <x:v>REFER</x:v>
      </x:c>
      <x:c r="F131" s="77" t="str">
        <x:f>IF(E131="APPROVE_RECOMMENDATION","NO","YES")</x:f>
        <x:v>YES</x:v>
      </x:c>
      <x:c r="G131" s="78" t="n">
        <x:f>B131*Assumptions!$B$8*C131</x:f>
        <x:v>1925.9757732820863</x:v>
      </x:c>
      <x:c r="H131" s="14" t="str">
        <x:v>E</x:v>
      </x:c>
      <x:c r="I131" s="73" t="n">
        <x:v>607</x:v>
      </x:c>
    </x:row>
    <x:row r="132">
      <x:c r="A132" s="14" t="str">
        <x:v>APP-0016988</x:v>
      </x:c>
      <x:c r="B132" s="67" t="n">
        <x:v>0.072858799157552</x:v>
      </x:c>
      <x:c r="C132" s="70" t="n">
        <x:v>92222.05</x:v>
      </x:c>
      <x:c r="D132" s="73" t="n">
        <x:v>0</x:v>
      </x:c>
      <x:c r="E132" s="77" t="str">
        <x:f>IF(B132&lt;Assumptions!$B$6,"APPROVE_RECOMMENDATION",IF(B132&lt;Assumptions!$B$7,"REFER","DECLINE_RECOMMENDATION"))</x:f>
        <x:v>APPROVE_RECOMMENDATION</x:v>
      </x:c>
      <x:c r="F132" s="77" t="str">
        <x:f>IF(E132="APPROVE_RECOMMENDATION","NO","YES")</x:f>
        <x:v>NO</x:v>
      </x:c>
      <x:c r="G132" s="78" t="n">
        <x:f>B132*Assumptions!$B$8*C132</x:f>
        <x:v>3023.634518481473</x:v>
      </x:c>
      <x:c r="H132" s="14" t="str">
        <x:v>C</x:v>
      </x:c>
      <x:c r="I132" s="73" t="n">
        <x:v>675</x:v>
      </x:c>
    </x:row>
    <x:row r="133">
      <x:c r="A133" s="14" t="str">
        <x:v>APP-0018373</x:v>
      </x:c>
      <x:c r="B133" s="67" t="n">
        <x:v>0.17467744390516254</x:v>
      </x:c>
      <x:c r="C133" s="70" t="n">
        <x:v>52970.45</x:v>
      </x:c>
      <x:c r="D133" s="73" t="n">
        <x:v>1</x:v>
      </x:c>
      <x:c r="E133" s="77" t="str">
        <x:f>IF(B133&lt;Assumptions!$B$6,"APPROVE_RECOMMENDATION",IF(B133&lt;Assumptions!$B$7,"REFER","DECLINE_RECOMMENDATION"))</x:f>
        <x:v>REFER</x:v>
      </x:c>
      <x:c r="F133" s="77" t="str">
        <x:f>IF(E133="APPROVE_RECOMMENDATION","NO","YES")</x:f>
        <x:v>YES</x:v>
      </x:c>
      <x:c r="G133" s="78" t="n">
        <x:f>B133*Assumptions!$B$8*C133</x:f>
        <x:v>4163.734263827798</x:v>
      </x:c>
      <x:c r="H133" s="14" t="str">
        <x:v>E</x:v>
      </x:c>
      <x:c r="I133" s="73" t="n">
        <x:v>604</x:v>
      </x:c>
    </x:row>
    <x:row r="134">
      <x:c r="A134" s="14" t="str">
        <x:v>APP-0018896</x:v>
      </x:c>
      <x:c r="B134" s="67" t="n">
        <x:v>0.05168240169720447</x:v>
      </x:c>
      <x:c r="C134" s="70" t="n">
        <x:v>41483.24</x:v>
      </x:c>
      <x:c r="D134" s="73" t="n">
        <x:v>0</x:v>
      </x:c>
      <x:c r="E134" s="77" t="str">
        <x:f>IF(B134&lt;Assumptions!$B$6,"APPROVE_RECOMMENDATION",IF(B134&lt;Assumptions!$B$7,"REFER","DECLINE_RECOMMENDATION"))</x:f>
        <x:v>APPROVE_RECOMMENDATION</x:v>
      </x:c>
      <x:c r="F134" s="77" t="str">
        <x:f>IF(E134="APPROVE_RECOMMENDATION","NO","YES")</x:f>
        <x:v>NO</x:v>
      </x:c>
      <x:c r="G134" s="78" t="n">
        <x:f>B134*Assumptions!$B$8*C134</x:f>
        <x:v>964.7790630216932</x:v>
      </x:c>
      <x:c r="H134" s="14" t="str">
        <x:v>B</x:v>
      </x:c>
      <x:c r="I134" s="73" t="n">
        <x:v>701</x:v>
      </x:c>
    </x:row>
    <x:row r="135">
      <x:c r="A135" s="14" t="str">
        <x:v>APP-0020118</x:v>
      </x:c>
      <x:c r="B135" s="67" t="n">
        <x:v>0.29934658689644533</x:v>
      </x:c>
      <x:c r="C135" s="70" t="n">
        <x:v>53130.61</x:v>
      </x:c>
      <x:c r="D135" s="73" t="n">
        <x:v>1</x:v>
      </x:c>
      <x:c r="E135" s="77" t="str">
        <x:f>IF(B135&lt;Assumptions!$B$6,"APPROVE_RECOMMENDATION",IF(B135&lt;Assumptions!$B$7,"REFER","DECLINE_RECOMMENDATION"))</x:f>
        <x:v>DECLINE_RECOMMENDATION</x:v>
      </x:c>
      <x:c r="F135" s="77" t="str">
        <x:f>IF(E135="APPROVE_RECOMMENDATION","NO","YES")</x:f>
        <x:v>YES</x:v>
      </x:c>
      <x:c r="G135" s="78" t="n">
        <x:f>B135*Assumptions!$B$8*C135</x:f>
        <x:v>7157.010043451767</x:v>
      </x:c>
      <x:c r="H135" s="14" t="str">
        <x:v>F</x:v>
      </x:c>
      <x:c r="I135" s="73" t="n">
        <x:v>553</x:v>
      </x:c>
    </x:row>
    <x:row r="136">
      <x:c r="A136" s="14" t="str">
        <x:v>APP-0022480</x:v>
      </x:c>
      <x:c r="B136" s="67" t="n">
        <x:v>0.05917129699150243</x:v>
      </x:c>
      <x:c r="C136" s="70" t="n">
        <x:v>12501.07</x:v>
      </x:c>
      <x:c r="D136" s="73" t="n">
        <x:v>0</x:v>
      </x:c>
      <x:c r="E136" s="77" t="str">
        <x:f>IF(B136&lt;Assumptions!$B$6,"APPROVE_RECOMMENDATION",IF(B136&lt;Assumptions!$B$7,"REFER","DECLINE_RECOMMENDATION"))</x:f>
        <x:v>APPROVE_RECOMMENDATION</x:v>
      </x:c>
      <x:c r="F136" s="77" t="str">
        <x:f>IF(E136="APPROVE_RECOMMENDATION","NO","YES")</x:f>
        <x:v>NO</x:v>
      </x:c>
      <x:c r="G136" s="78" t="n">
        <x:f>B136*Assumptions!$B$8*C136</x:f>
        <x:v>332.86703655670254</x:v>
      </x:c>
      <x:c r="H136" s="14" t="str">
        <x:v>B</x:v>
      </x:c>
      <x:c r="I136" s="73" t="n">
        <x:v>691</x:v>
      </x:c>
    </x:row>
    <x:row r="137">
      <x:c r="A137" s="14" t="str">
        <x:v>APP-0023534</x:v>
      </x:c>
      <x:c r="B137" s="67" t="n">
        <x:v>0.11571407371574577</x:v>
      </x:c>
      <x:c r="C137" s="70" t="n">
        <x:v>62487.86</x:v>
      </x:c>
      <x:c r="D137" s="73" t="n">
        <x:v>0</x:v>
      </x:c>
      <x:c r="E137" s="77" t="str">
        <x:f>IF(B137&lt;Assumptions!$B$6,"APPROVE_RECOMMENDATION",IF(B137&lt;Assumptions!$B$7,"REFER","DECLINE_RECOMMENDATION"))</x:f>
        <x:v>REFER</x:v>
      </x:c>
      <x:c r="F137" s="77" t="str">
        <x:f>IF(E137="APPROVE_RECOMMENDATION","NO","YES")</x:f>
        <x:v>YES</x:v>
      </x:c>
      <x:c r="G137" s="78" t="n">
        <x:f>B137*Assumptions!$B$8*C137</x:f>
        <x:v>3253.826177270641</x:v>
      </x:c>
      <x:c r="H137" s="14" t="str">
        <x:v>D</x:v>
      </x:c>
      <x:c r="I137" s="73" t="n">
        <x:v>638</x:v>
      </x:c>
    </x:row>
    <x:row r="138">
      <x:c r="A138" s="14" t="str">
        <x:v>APP-0024916</x:v>
      </x:c>
      <x:c r="B138" s="67" t="n">
        <x:v>0.34968406113636735</x:v>
      </x:c>
      <x:c r="C138" s="70" t="n">
        <x:v>48801.7</x:v>
      </x:c>
      <x:c r="D138" s="73" t="n">
        <x:v>0</x:v>
      </x:c>
      <x:c r="E138" s="77" t="str">
        <x:f>IF(B138&lt;Assumptions!$B$6,"APPROVE_RECOMMENDATION",IF(B138&lt;Assumptions!$B$7,"REFER","DECLINE_RECOMMENDATION"))</x:f>
        <x:v>DECLINE_RECOMMENDATION</x:v>
      </x:c>
      <x:c r="F138" s="77" t="str">
        <x:f>IF(E138="APPROVE_RECOMMENDATION","NO","YES")</x:f>
        <x:v>YES</x:v>
      </x:c>
      <x:c r="G138" s="78" t="n">
        <x:f>B138*Assumptions!$B$8*C138</x:f>
        <x:v>7679.329490861396</x:v>
      </x:c>
      <x:c r="H138" s="14" t="str">
        <x:v>F</x:v>
      </x:c>
      <x:c r="I138" s="73" t="n">
        <x:v>536</x:v>
      </x:c>
    </x:row>
    <x:row r="139">
      <x:c r="A139" s="14" t="str">
        <x:v>APP-0029212</x:v>
      </x:c>
      <x:c r="B139" s="67" t="n">
        <x:v>0.03606944540005795</x:v>
      </x:c>
      <x:c r="C139" s="70" t="n">
        <x:v>101010.79</x:v>
      </x:c>
      <x:c r="D139" s="73" t="n">
        <x:v>0</x:v>
      </x:c>
      <x:c r="E139" s="77" t="str">
        <x:f>IF(B139&lt;Assumptions!$B$6,"APPROVE_RECOMMENDATION",IF(B139&lt;Assumptions!$B$7,"REFER","DECLINE_RECOMMENDATION"))</x:f>
        <x:v>APPROVE_RECOMMENDATION</x:v>
      </x:c>
      <x:c r="F139" s="77" t="str">
        <x:f>IF(E139="APPROVE_RECOMMENDATION","NO","YES")</x:f>
        <x:v>NO</x:v>
      </x:c>
      <x:c r="G139" s="78" t="n">
        <x:f>B139*Assumptions!$B$8*C139</x:f>
        <x:v>1639.531428624774</x:v>
      </x:c>
      <x:c r="H139" s="14" t="str">
        <x:v>B</x:v>
      </x:c>
      <x:c r="I139" s="73" t="n">
        <x:v>729</x:v>
      </x:c>
    </x:row>
    <x:row r="140">
      <x:c r="A140" s="14" t="str">
        <x:v>APP-0030491</x:v>
      </x:c>
      <x:c r="B140" s="67" t="n">
        <x:v>0.06493295785135755</x:v>
      </x:c>
      <x:c r="C140" s="70" t="n">
        <x:v>21495.17</x:v>
      </x:c>
      <x:c r="D140" s="73" t="n">
        <x:v>0</x:v>
      </x:c>
      <x:c r="E140" s="77" t="str">
        <x:f>IF(B140&lt;Assumptions!$B$6,"APPROVE_RECOMMENDATION",IF(B140&lt;Assumptions!$B$7,"REFER","DECLINE_RECOMMENDATION"))</x:f>
        <x:v>APPROVE_RECOMMENDATION</x:v>
      </x:c>
      <x:c r="F140" s="77" t="str">
        <x:f>IF(E140="APPROVE_RECOMMENDATION","NO","YES")</x:f>
        <x:v>NO</x:v>
      </x:c>
      <x:c r="G140" s="78" t="n">
        <x:f>B140*Assumptions!$B$8*C140</x:f>
        <x:v>628.0852354279943</x:v>
      </x:c>
      <x:c r="H140" s="14" t="str">
        <x:v>C</x:v>
      </x:c>
      <x:c r="I140" s="73" t="n">
        <x:v>684</x:v>
      </x:c>
    </x:row>
    <x:row r="141">
      <x:c r="A141" s="14" t="str">
        <x:v>APP-0031075</x:v>
      </x:c>
      <x:c r="B141" s="67" t="n">
        <x:v>0.1976502734179845</x:v>
      </x:c>
      <x:c r="C141" s="70" t="n">
        <x:v>145411.53</x:v>
      </x:c>
      <x:c r="D141" s="73" t="n">
        <x:v>0</x:v>
      </x:c>
      <x:c r="E141" s="77" t="str">
        <x:f>IF(B141&lt;Assumptions!$B$6,"APPROVE_RECOMMENDATION",IF(B141&lt;Assumptions!$B$7,"REFER","DECLINE_RECOMMENDATION"))</x:f>
        <x:v>REFER</x:v>
      </x:c>
      <x:c r="F141" s="77" t="str">
        <x:f>IF(E141="APPROVE_RECOMMENDATION","NO","YES")</x:f>
        <x:v>YES</x:v>
      </x:c>
      <x:c r="G141" s="78" t="n">
        <x:f>B141*Assumptions!$B$8*C141</x:f>
        <x:v>12933.282898182355</x:v>
      </x:c>
      <x:c r="H141" s="14" t="str">
        <x:v>E</x:v>
      </x:c>
      <x:c r="I141" s="73" t="n">
        <x:v>593</x:v>
      </x:c>
    </x:row>
    <x:row r="142">
      <x:c r="A142" s="14" t="str">
        <x:v>APP-0031525</x:v>
      </x:c>
      <x:c r="B142" s="67" t="n">
        <x:v>0.06685484090438834</x:v>
      </x:c>
      <x:c r="C142" s="70" t="n">
        <x:v>21380.01</x:v>
      </x:c>
      <x:c r="D142" s="73" t="n">
        <x:v>0</x:v>
      </x:c>
      <x:c r="E142" s="77" t="str">
        <x:f>IF(B142&lt;Assumptions!$B$6,"APPROVE_RECOMMENDATION",IF(B142&lt;Assumptions!$B$7,"REFER","DECLINE_RECOMMENDATION"))</x:f>
        <x:v>APPROVE_RECOMMENDATION</x:v>
      </x:c>
      <x:c r="F142" s="77" t="str">
        <x:f>IF(E142="APPROVE_RECOMMENDATION","NO","YES")</x:f>
        <x:v>NO</x:v>
      </x:c>
      <x:c r="G142" s="78" t="n">
        <x:f>B142*Assumptions!$B$8*C142</x:f>
        <x:v>643.2107251879042</x:v>
      </x:c>
      <x:c r="H142" s="14" t="str">
        <x:v>C</x:v>
      </x:c>
      <x:c r="I142" s="73" t="n">
        <x:v>682</x:v>
      </x:c>
    </x:row>
    <x:row r="143">
      <x:c r="A143" s="14" t="str">
        <x:v>APP-0032173</x:v>
      </x:c>
      <x:c r="B143" s="67" t="n">
        <x:v>0.06861416411411611</x:v>
      </x:c>
      <x:c r="C143" s="70" t="n">
        <x:v>10000</x:v>
      </x:c>
      <x:c r="D143" s="73" t="n">
        <x:v>0</x:v>
      </x:c>
      <x:c r="E143" s="77" t="str">
        <x:f>IF(B143&lt;Assumptions!$B$6,"APPROVE_RECOMMENDATION",IF(B143&lt;Assumptions!$B$7,"REFER","DECLINE_RECOMMENDATION"))</x:f>
        <x:v>APPROVE_RECOMMENDATION</x:v>
      </x:c>
      <x:c r="F143" s="77" t="str">
        <x:f>IF(E143="APPROVE_RECOMMENDATION","NO","YES")</x:f>
        <x:v>NO</x:v>
      </x:c>
      <x:c r="G143" s="78" t="n">
        <x:f>B143*Assumptions!$B$8*C143</x:f>
        <x:v>308.7637385135225</x:v>
      </x:c>
      <x:c r="H143" s="14" t="str">
        <x:v>C</x:v>
      </x:c>
      <x:c r="I143" s="73" t="n">
        <x:v>680</x:v>
      </x:c>
    </x:row>
    <x:row r="144">
      <x:c r="A144" s="14" t="str">
        <x:v>APP-0032601</x:v>
      </x:c>
      <x:c r="B144" s="67" t="n">
        <x:v>0.07491443247789265</x:v>
      </x:c>
      <x:c r="C144" s="70" t="n">
        <x:v>10000</x:v>
      </x:c>
      <x:c r="D144" s="73" t="n">
        <x:v>0</x:v>
      </x:c>
      <x:c r="E144" s="77" t="str">
        <x:f>IF(B144&lt;Assumptions!$B$6,"APPROVE_RECOMMENDATION",IF(B144&lt;Assumptions!$B$7,"REFER","DECLINE_RECOMMENDATION"))</x:f>
        <x:v>APPROVE_RECOMMENDATION</x:v>
      </x:c>
      <x:c r="F144" s="77" t="str">
        <x:f>IF(E144="APPROVE_RECOMMENDATION","NO","YES")</x:f>
        <x:v>NO</x:v>
      </x:c>
      <x:c r="G144" s="78" t="n">
        <x:f>B144*Assumptions!$B$8*C144</x:f>
        <x:v>337.1149461505169</x:v>
      </x:c>
      <x:c r="H144" s="14" t="str">
        <x:v>C</x:v>
      </x:c>
      <x:c r="I144" s="73" t="n">
        <x:v>673</x:v>
      </x:c>
    </x:row>
    <x:row r="145">
      <x:c r="A145" s="14" t="str">
        <x:v>APP-0032988</x:v>
      </x:c>
      <x:c r="B145" s="67" t="n">
        <x:v>0.13938333592054364</x:v>
      </x:c>
      <x:c r="C145" s="70" t="n">
        <x:v>80602.36</x:v>
      </x:c>
      <x:c r="D145" s="73" t="n">
        <x:v>1</x:v>
      </x:c>
      <x:c r="E145" s="77" t="str">
        <x:f>IF(B145&lt;Assumptions!$B$6,"APPROVE_RECOMMENDATION",IF(B145&lt;Assumptions!$B$7,"REFER","DECLINE_RECOMMENDATION"))</x:f>
        <x:v>REFER</x:v>
      </x:c>
      <x:c r="F145" s="77" t="str">
        <x:f>IF(E145="APPROVE_RECOMMENDATION","NO","YES")</x:f>
        <x:v>YES</x:v>
      </x:c>
      <x:c r="G145" s="78" t="n">
        <x:f>B145*Assumptions!$B$8*C145</x:f>
        <x:v>5055.581618940866</x:v>
      </x:c>
      <x:c r="H145" s="14" t="str">
        <x:v>D</x:v>
      </x:c>
      <x:c r="I145" s="73" t="n">
        <x:v>623</x:v>
      </x:c>
    </x:row>
    <x:row r="146">
      <x:c r="A146" s="14" t="str">
        <x:v>APP-0033269</x:v>
      </x:c>
      <x:c r="B146" s="67" t="n">
        <x:v>0.057237336691289754</x:v>
      </x:c>
      <x:c r="C146" s="70" t="n">
        <x:v>10000</x:v>
      </x:c>
      <x:c r="D146" s="73" t="n">
        <x:v>0</x:v>
      </x:c>
      <x:c r="E146" s="77" t="str">
        <x:f>IF(B146&lt;Assumptions!$B$6,"APPROVE_RECOMMENDATION",IF(B146&lt;Assumptions!$B$7,"REFER","DECLINE_RECOMMENDATION"))</x:f>
        <x:v>APPROVE_RECOMMENDATION</x:v>
      </x:c>
      <x:c r="F146" s="77" t="str">
        <x:f>IF(E146="APPROVE_RECOMMENDATION","NO","YES")</x:f>
        <x:v>NO</x:v>
      </x:c>
      <x:c r="G146" s="78" t="n">
        <x:f>B146*Assumptions!$B$8*C146</x:f>
        <x:v>257.5680151108039</x:v>
      </x:c>
      <x:c r="H146" s="14" t="str">
        <x:v>B</x:v>
      </x:c>
      <x:c r="I146" s="73" t="n">
        <x:v>694</x:v>
      </x:c>
    </x:row>
    <x:row r="147">
      <x:c r="A147" s="14" t="str">
        <x:v>APP-0035453</x:v>
      </x:c>
      <x:c r="B147" s="67" t="n">
        <x:v>0.27192185658532925</x:v>
      </x:c>
      <x:c r="C147" s="70" t="n">
        <x:v>31227.47</x:v>
      </x:c>
      <x:c r="D147" s="73" t="n">
        <x:v>1</x:v>
      </x:c>
      <x:c r="E147" s="77" t="str">
        <x:f>IF(B147&lt;Assumptions!$B$6,"APPROVE_RECOMMENDATION",IF(B147&lt;Assumptions!$B$7,"REFER","DECLINE_RECOMMENDATION"))</x:f>
        <x:v>DECLINE_RECOMMENDATION</x:v>
      </x:c>
      <x:c r="F147" s="77" t="str">
        <x:f>IF(E147="APPROVE_RECOMMENDATION","NO","YES")</x:f>
        <x:v>YES</x:v>
      </x:c>
      <x:c r="G147" s="78" t="n">
        <x:f>B147*Assumptions!$B$8*C147</x:f>
        <x:v>3821.1442284882023</x:v>
      </x:c>
      <x:c r="H147" s="14" t="str">
        <x:v>F</x:v>
      </x:c>
      <x:c r="I147" s="73" t="n">
        <x:v>563</x:v>
      </x:c>
    </x:row>
    <x:row r="148">
      <x:c r="A148" s="14" t="str">
        <x:v>APP-0036826</x:v>
      </x:c>
      <x:c r="B148" s="67" t="n">
        <x:v>0.1544250896227</x:v>
      </x:c>
      <x:c r="C148" s="70" t="n">
        <x:v>59122.59</x:v>
      </x:c>
      <x:c r="D148" s="73" t="n">
        <x:v>0</x:v>
      </x:c>
      <x:c r="E148" s="77" t="str">
        <x:f>IF(B148&lt;Assumptions!$B$6,"APPROVE_RECOMMENDATION",IF(B148&lt;Assumptions!$B$7,"REFER","DECLINE_RECOMMENDATION"))</x:f>
        <x:v>REFER</x:v>
      </x:c>
      <x:c r="F148" s="77" t="str">
        <x:f>IF(E148="APPROVE_RECOMMENDATION","NO","YES")</x:f>
        <x:v>YES</x:v>
      </x:c>
      <x:c r="G148" s="78" t="n">
        <x:f>B148*Assumptions!$B$8*C148</x:f>
        <x:v>4108.505066764265</x:v>
      </x:c>
      <x:c r="H148" s="14" t="str">
        <x:v>E</x:v>
      </x:c>
      <x:c r="I148" s="73" t="n">
        <x:v>614</x:v>
      </x:c>
    </x:row>
    <x:row r="149">
      <x:c r="A149" s="14" t="str">
        <x:v>APP-0036941</x:v>
      </x:c>
      <x:c r="B149" s="67" t="n">
        <x:v>0.3844263101193904</x:v>
      </x:c>
      <x:c r="C149" s="70" t="n">
        <x:v>147447.44</x:v>
      </x:c>
      <x:c r="D149" s="73" t="n">
        <x:v>0</x:v>
      </x:c>
      <x:c r="E149" s="77" t="str">
        <x:f>IF(B149&lt;Assumptions!$B$6,"APPROVE_RECOMMENDATION",IF(B149&lt;Assumptions!$B$7,"REFER","DECLINE_RECOMMENDATION"))</x:f>
        <x:v>DECLINE_RECOMMENDATION</x:v>
      </x:c>
      <x:c r="F149" s="77" t="str">
        <x:f>IF(E149="APPROVE_RECOMMENDATION","NO","YES")</x:f>
        <x:v>YES</x:v>
      </x:c>
      <x:c r="G149" s="78" t="n">
        <x:f>B149*Assumptions!$B$8*C149</x:f>
        <x:v>25507.203883087594</x:v>
      </x:c>
      <x:c r="H149" s="14" t="str">
        <x:v>F</x:v>
      </x:c>
      <x:c r="I149" s="73" t="n">
        <x:v>525</x:v>
      </x:c>
    </x:row>
    <x:row r="150">
      <x:c r="A150" s="14" t="str">
        <x:v>APP-0037370</x:v>
      </x:c>
      <x:c r="B150" s="67" t="n">
        <x:v>0.11750244224188801</x:v>
      </x:c>
      <x:c r="C150" s="70" t="n">
        <x:v>174365.63</x:v>
      </x:c>
      <x:c r="D150" s="73" t="n">
        <x:v>0</x:v>
      </x:c>
      <x:c r="E150" s="77" t="str">
        <x:f>IF(B150&lt;Assumptions!$B$6,"APPROVE_RECOMMENDATION",IF(B150&lt;Assumptions!$B$7,"REFER","DECLINE_RECOMMENDATION"))</x:f>
        <x:v>REFER</x:v>
      </x:c>
      <x:c r="F150" s="77" t="str">
        <x:f>IF(E150="APPROVE_RECOMMENDATION","NO","YES")</x:f>
        <x:v>YES</x:v>
      </x:c>
      <x:c r="G150" s="78" t="n">
        <x:f>B150*Assumptions!$B$8*C150</x:f>
        <x:v>9219.774315620438</x:v>
      </x:c>
      <x:c r="H150" s="14" t="str">
        <x:v>D</x:v>
      </x:c>
      <x:c r="I150" s="73" t="n">
        <x:v>637</x:v>
      </x:c>
    </x:row>
    <x:row r="151">
      <x:c r="A151" s="14" t="str">
        <x:v>APP-0038305</x:v>
      </x:c>
      <x:c r="B151" s="67" t="n">
        <x:v>0.19151078263227422</x:v>
      </x:c>
      <x:c r="C151" s="70" t="n">
        <x:v>26421.1</x:v>
      </x:c>
      <x:c r="D151" s="73" t="n">
        <x:v>0</x:v>
      </x:c>
      <x:c r="E151" s="77" t="str">
        <x:f>IF(B151&lt;Assumptions!$B$6,"APPROVE_RECOMMENDATION",IF(B151&lt;Assumptions!$B$7,"REFER","DECLINE_RECOMMENDATION"))</x:f>
        <x:v>REFER</x:v>
      </x:c>
      <x:c r="F151" s="77" t="str">
        <x:f>IF(E151="APPROVE_RECOMMENDATION","NO","YES")</x:f>
        <x:v>YES</x:v>
      </x:c>
      <x:c r="G151" s="78" t="n">
        <x:f>B151*Assumptions!$B$8*C151</x:f>
        <x:v>2276.966492552511</x:v>
      </x:c>
      <x:c r="H151" s="14" t="str">
        <x:v>E</x:v>
      </x:c>
      <x:c r="I151" s="73" t="n">
        <x:v>595</x:v>
      </x:c>
    </x:row>
    <x:row r="152">
      <x:c r="A152" s="14" t="str">
        <x:v>APP-0038310</x:v>
      </x:c>
      <x:c r="B152" s="67" t="n">
        <x:v>0.1052289904717217</x:v>
      </x:c>
      <x:c r="C152" s="70" t="n">
        <x:v>70909.05</x:v>
      </x:c>
      <x:c r="D152" s="73" t="n">
        <x:v>0</x:v>
      </x:c>
      <x:c r="E152" s="77" t="str">
        <x:f>IF(B152&lt;Assumptions!$B$6,"APPROVE_RECOMMENDATION",IF(B152&lt;Assumptions!$B$7,"REFER","DECLINE_RECOMMENDATION"))</x:f>
        <x:v>REFER</x:v>
      </x:c>
      <x:c r="F152" s="77" t="str">
        <x:f>IF(E152="APPROVE_RECOMMENDATION","NO","YES")</x:f>
        <x:v>YES</x:v>
      </x:c>
      <x:c r="G152" s="78" t="n">
        <x:f>B152*Assumptions!$B$8*C152</x:f>
        <x:v>3357.759486063977</x:v>
      </x:c>
      <x:c r="H152" s="14" t="str">
        <x:v>D</x:v>
      </x:c>
      <x:c r="I152" s="73" t="n">
        <x:v>646</x:v>
      </x:c>
    </x:row>
    <x:row r="153">
      <x:c r="A153" s="14" t="str">
        <x:v>APP-0039854</x:v>
      </x:c>
      <x:c r="B153" s="67" t="n">
        <x:v>0.0533186234841653</x:v>
      </x:c>
      <x:c r="C153" s="70" t="n">
        <x:v>19048.5</x:v>
      </x:c>
      <x:c r="D153" s="73" t="n">
        <x:v>0</x:v>
      </x:c>
      <x:c r="E153" s="77" t="str">
        <x:f>IF(B153&lt;Assumptions!$B$6,"APPROVE_RECOMMENDATION",IF(B153&lt;Assumptions!$B$7,"REFER","DECLINE_RECOMMENDATION"))</x:f>
        <x:v>APPROVE_RECOMMENDATION</x:v>
      </x:c>
      <x:c r="F153" s="77" t="str">
        <x:f>IF(E153="APPROVE_RECOMMENDATION","NO","YES")</x:f>
        <x:v>NO</x:v>
      </x:c>
      <x:c r="G153" s="78" t="n">
        <x:f>B153*Assumptions!$B$8*C153</x:f>
        <x:v>457.0379097471552</x:v>
      </x:c>
      <x:c r="H153" s="14" t="str">
        <x:v>B</x:v>
      </x:c>
      <x:c r="I153" s="73" t="n">
        <x:v>699</x:v>
      </x:c>
    </x:row>
    <x:row r="154">
      <x:c r="A154" s="14" t="str">
        <x:v>APP-0039997</x:v>
      </x:c>
      <x:c r="B154" s="67" t="n">
        <x:v>0.31700518489760043</x:v>
      </x:c>
      <x:c r="C154" s="70" t="n">
        <x:v>30547.45</x:v>
      </x:c>
      <x:c r="D154" s="73" t="n">
        <x:v>1</x:v>
      </x:c>
      <x:c r="E154" s="77" t="str">
        <x:f>IF(B154&lt;Assumptions!$B$6,"APPROVE_RECOMMENDATION",IF(B154&lt;Assumptions!$B$7,"REFER","DECLINE_RECOMMENDATION"))</x:f>
        <x:v>DECLINE_RECOMMENDATION</x:v>
      </x:c>
      <x:c r="F154" s="77" t="str">
        <x:f>IF(E154="APPROVE_RECOMMENDATION","NO","YES")</x:f>
        <x:v>YES</x:v>
      </x:c>
      <x:c r="G154" s="78" t="n">
        <x:f>B154*Assumptions!$B$8*C154</x:f>
        <x:v>4357.6650159300925</x:v>
      </x:c>
      <x:c r="H154" s="14" t="str">
        <x:v>F</x:v>
      </x:c>
      <x:c r="I154" s="73" t="n">
        <x:v>547</x:v>
      </x:c>
    </x:row>
    <x:row r="155">
      <x:c r="A155" s="14" t="str">
        <x:v>APP-0040033</x:v>
      </x:c>
      <x:c r="B155" s="67" t="n">
        <x:v>0.051884168507191276</x:v>
      </x:c>
      <x:c r="C155" s="70" t="n">
        <x:v>101721.44</x:v>
      </x:c>
      <x:c r="D155" s="73" t="n">
        <x:v>0</x:v>
      </x:c>
      <x:c r="E155" s="77" t="str">
        <x:f>IF(B155&lt;Assumptions!$B$6,"APPROVE_RECOMMENDATION",IF(B155&lt;Assumptions!$B$7,"REFER","DECLINE_RECOMMENDATION"))</x:f>
        <x:v>APPROVE_RECOMMENDATION</x:v>
      </x:c>
      <x:c r="F155" s="77" t="str">
        <x:f>IF(E155="APPROVE_RECOMMENDATION","NO","YES")</x:f>
        <x:v>NO</x:v>
      </x:c>
      <x:c r="G155" s="78" t="n">
        <x:f>B155*Assumptions!$B$8*C155</x:f>
        <x:v>2374.9795501893664</x:v>
      </x:c>
      <x:c r="H155" s="14" t="str">
        <x:v>B</x:v>
      </x:c>
      <x:c r="I155" s="73" t="n">
        <x:v>701</x:v>
      </x:c>
    </x:row>
    <x:row r="156">
      <x:c r="A156" s="14" t="str">
        <x:v>APP-0041713</x:v>
      </x:c>
      <x:c r="B156" s="67" t="n">
        <x:v>0.4539731566501027</x:v>
      </x:c>
      <x:c r="C156" s="70" t="n">
        <x:v>217271.33</x:v>
      </x:c>
      <x:c r="D156" s="73" t="n">
        <x:v>0</x:v>
      </x:c>
      <x:c r="E156" s="77" t="str">
        <x:f>IF(B156&lt;Assumptions!$B$6,"APPROVE_RECOMMENDATION",IF(B156&lt;Assumptions!$B$7,"REFER","DECLINE_RECOMMENDATION"))</x:f>
        <x:v>DECLINE_RECOMMENDATION</x:v>
      </x:c>
      <x:c r="F156" s="77" t="str">
        <x:f>IF(E156="APPROVE_RECOMMENDATION","NO","YES")</x:f>
        <x:v>YES</x:v>
      </x:c>
      <x:c r="G156" s="78" t="n">
        <x:f>B156*Assumptions!$B$8*C156</x:f>
        <x:v>44385.90818834977</x:v>
      </x:c>
      <x:c r="H156" s="14" t="str">
        <x:v>F</x:v>
      </x:c>
      <x:c r="I156" s="73" t="n">
        <x:v>505</x:v>
      </x:c>
    </x:row>
    <x:row r="157">
      <x:c r="A157" s="14" t="str">
        <x:v>APP-0042760</x:v>
      </x:c>
      <x:c r="B157" s="67" t="n">
        <x:v>0.1206932244928945</x:v>
      </x:c>
      <x:c r="C157" s="70" t="n">
        <x:v>306800.23</x:v>
      </x:c>
      <x:c r="D157" s="73" t="n">
        <x:v>0</x:v>
      </x:c>
      <x:c r="E157" s="77" t="str">
        <x:f>IF(B157&lt;Assumptions!$B$6,"APPROVE_RECOMMENDATION",IF(B157&lt;Assumptions!$B$7,"REFER","DECLINE_RECOMMENDATION"))</x:f>
        <x:v>REFER</x:v>
      </x:c>
      <x:c r="F157" s="77" t="str">
        <x:f>IF(E157="APPROVE_RECOMMENDATION","NO","YES")</x:f>
        <x:v>YES</x:v>
      </x:c>
      <x:c r="G157" s="78" t="n">
        <x:f>B157*Assumptions!$B$8*C157</x:f>
        <x:v>16662.91906523775</x:v>
      </x:c>
      <x:c r="H157" s="14" t="str">
        <x:v>D</x:v>
      </x:c>
      <x:c r="I157" s="73" t="n">
        <x:v>635</x:v>
      </x:c>
    </x:row>
    <x:row r="158">
      <x:c r="A158" s="14" t="str">
        <x:v>APP-0046844</x:v>
      </x:c>
      <x:c r="B158" s="67" t="n">
        <x:v>0.0350142514018835</x:v>
      </x:c>
      <x:c r="C158" s="70" t="n">
        <x:v>29533.44</x:v>
      </x:c>
      <x:c r="D158" s="73" t="n">
        <x:v>0</x:v>
      </x:c>
      <x:c r="E158" s="77" t="str">
        <x:f>IF(B158&lt;Assumptions!$B$6,"APPROVE_RECOMMENDATION",IF(B158&lt;Assumptions!$B$7,"REFER","DECLINE_RECOMMENDATION"))</x:f>
        <x:v>APPROVE_RECOMMENDATION</x:v>
      </x:c>
      <x:c r="F158" s="77" t="str">
        <x:f>IF(E158="APPROVE_RECOMMENDATION","NO","YES")</x:f>
        <x:v>NO</x:v>
      </x:c>
      <x:c r="G158" s="78" t="n">
        <x:f>B158*Assumptions!$B$8*C158</x:f>
        <x:v>465.341081815099</x:v>
      </x:c>
      <x:c r="H158" s="14" t="str">
        <x:v>B</x:v>
      </x:c>
      <x:c r="I158" s="73" t="n">
        <x:v>731</x:v>
      </x:c>
    </x:row>
    <x:row r="159">
      <x:c r="A159" s="14" t="str">
        <x:v>APP-0047685</x:v>
      </x:c>
      <x:c r="B159" s="67" t="n">
        <x:v>0.19999042404551132</x:v>
      </x:c>
      <x:c r="C159" s="70" t="n">
        <x:v>13288.42</x:v>
      </x:c>
      <x:c r="D159" s="73" t="n">
        <x:v>0</x:v>
      </x:c>
      <x:c r="E159" s="77" t="str">
        <x:f>IF(B159&lt;Assumptions!$B$6,"APPROVE_RECOMMENDATION",IF(B159&lt;Assumptions!$B$7,"REFER","DECLINE_RECOMMENDATION"))</x:f>
        <x:v>REFER</x:v>
      </x:c>
      <x:c r="F159" s="77" t="str">
        <x:f>IF(E159="APPROVE_RECOMMENDATION","NO","YES")</x:f>
        <x:v>YES</x:v>
      </x:c>
      <x:c r="G159" s="78" t="n">
        <x:f>B159*Assumptions!$B$8*C159</x:f>
        <x:v>1195.900537812684</x:v>
      </x:c>
      <x:c r="H159" s="14" t="str">
        <x:v>E</x:v>
      </x:c>
      <x:c r="I159" s="73" t="n">
        <x:v>592</x:v>
      </x:c>
    </x:row>
    <x:row r="160">
      <x:c r="A160" s="14" t="str">
        <x:v>APP-0000216</x:v>
      </x:c>
      <x:c r="B160" s="67" t="n">
        <x:v>0.062904237621025</x:v>
      </x:c>
      <x:c r="C160" s="70" t="n">
        <x:v>94203.45</x:v>
      </x:c>
      <x:c r="D160" s="73" t="n">
        <x:v>0</x:v>
      </x:c>
      <x:c r="E160" s="77" t="str">
        <x:f>IF(B160&lt;Assumptions!$B$6,"APPROVE_RECOMMENDATION",IF(B160&lt;Assumptions!$B$7,"REFER","DECLINE_RECOMMENDATION"))</x:f>
        <x:v>APPROVE_RECOMMENDATION</x:v>
      </x:c>
      <x:c r="F160" s="77" t="str">
        <x:f>IF(E160="APPROVE_RECOMMENDATION","NO","YES")</x:f>
        <x:v>NO</x:v>
      </x:c>
      <x:c r="G160" s="78" t="n">
        <x:f>B160*Assumptions!$B$8*C160</x:f>
        <x:v>2666.608291584156</x:v>
      </x:c>
      <x:c r="H160" s="14" t="str">
        <x:v>C</x:v>
      </x:c>
      <x:c r="I160" s="73" t="n">
        <x:v>686</x:v>
      </x:c>
    </x:row>
    <x:row r="161">
      <x:c r="A161" s="14" t="str">
        <x:v>APP-0000412</x:v>
      </x:c>
      <x:c r="B161" s="67" t="n">
        <x:v>0.22265330233484293</x:v>
      </x:c>
      <x:c r="C161" s="70" t="n">
        <x:v>10000</x:v>
      </x:c>
      <x:c r="D161" s="73" t="n">
        <x:v>0</x:v>
      </x:c>
      <x:c r="E161" s="77" t="str">
        <x:f>IF(B161&lt;Assumptions!$B$6,"APPROVE_RECOMMENDATION",IF(B161&lt;Assumptions!$B$7,"REFER","DECLINE_RECOMMENDATION"))</x:f>
        <x:v>DECLINE_RECOMMENDATION</x:v>
      </x:c>
      <x:c r="F161" s="77" t="str">
        <x:f>IF(E161="APPROVE_RECOMMENDATION","NO","YES")</x:f>
        <x:v>YES</x:v>
      </x:c>
      <x:c r="G161" s="78" t="n">
        <x:f>B161*Assumptions!$B$8*C161</x:f>
        <x:v>1001.9398605067933</x:v>
      </x:c>
      <x:c r="H161" s="14" t="str">
        <x:v>F</x:v>
      </x:c>
      <x:c r="I161" s="73" t="n">
        <x:v>582</x:v>
      </x:c>
    </x:row>
    <x:row r="162">
      <x:c r="A162" s="14" t="str">
        <x:v>APP-0003188</x:v>
      </x:c>
      <x:c r="B162" s="67" t="n">
        <x:v>0.07473917114784288</x:v>
      </x:c>
      <x:c r="C162" s="70" t="n">
        <x:v>43306.39</x:v>
      </x:c>
      <x:c r="D162" s="73" t="n">
        <x:v>0</x:v>
      </x:c>
      <x:c r="E162" s="77" t="str">
        <x:f>IF(B162&lt;Assumptions!$B$6,"APPROVE_RECOMMENDATION",IF(B162&lt;Assumptions!$B$7,"REFER","DECLINE_RECOMMENDATION"))</x:f>
        <x:v>APPROVE_RECOMMENDATION</x:v>
      </x:c>
      <x:c r="F162" s="77" t="str">
        <x:f>IF(E162="APPROVE_RECOMMENDATION","NO","YES")</x:f>
        <x:v>NO</x:v>
      </x:c>
      <x:c r="G162" s="78" t="n">
        <x:f>B162*Assumptions!$B$8*C162</x:f>
        <x:v>1456.5076623023542</x:v>
      </x:c>
      <x:c r="H162" s="14" t="str">
        <x:v>C</x:v>
      </x:c>
      <x:c r="I162" s="73" t="n">
        <x:v>673</x:v>
      </x:c>
    </x:row>
    <x:row r="163">
      <x:c r="A163" s="14" t="str">
        <x:v>APP-0004076</x:v>
      </x:c>
      <x:c r="B163" s="67" t="n">
        <x:v>0.08316628929744461</x:v>
      </x:c>
      <x:c r="C163" s="70" t="n">
        <x:v>63116.89</x:v>
      </x:c>
      <x:c r="D163" s="73" t="n">
        <x:v>0</x:v>
      </x:c>
      <x:c r="E163" s="77" t="str">
        <x:f>IF(B163&lt;Assumptions!$B$6,"APPROVE_RECOMMENDATION",IF(B163&lt;Assumptions!$B$7,"REFER","DECLINE_RECOMMENDATION"))</x:f>
        <x:v>APPROVE_RECOMMENDATION</x:v>
      </x:c>
      <x:c r="F163" s="77" t="str">
        <x:f>IF(E163="APPROVE_RECOMMENDATION","NO","YES")</x:f>
        <x:v>NO</x:v>
      </x:c>
      <x:c r="G163" s="78" t="n">
        <x:f>B163*Assumptions!$B$8*C163</x:f>
        <x:v>2362.1388899827452</x:v>
      </x:c>
      <x:c r="H163" s="14" t="str">
        <x:v>C</x:v>
      </x:c>
      <x:c r="I163" s="73" t="n">
        <x:v>665</x:v>
      </x:c>
    </x:row>
    <x:row r="164">
      <x:c r="A164" s="14" t="str">
        <x:v>APP-0006216</x:v>
      </x:c>
      <x:c r="B164" s="67" t="n">
        <x:v>0.25193244044944535</x:v>
      </x:c>
      <x:c r="C164" s="70" t="n">
        <x:v>40974.05</x:v>
      </x:c>
      <x:c r="D164" s="73" t="n">
        <x:v>1</x:v>
      </x:c>
      <x:c r="E164" s="77" t="str">
        <x:f>IF(B164&lt;Assumptions!$B$6,"APPROVE_RECOMMENDATION",IF(B164&lt;Assumptions!$B$7,"REFER","DECLINE_RECOMMENDATION"))</x:f>
        <x:v>DECLINE_RECOMMENDATION</x:v>
      </x:c>
      <x:c r="F164" s="77" t="str">
        <x:f>IF(E164="APPROVE_RECOMMENDATION","NO","YES")</x:f>
        <x:v>YES</x:v>
      </x:c>
      <x:c r="G164" s="78" t="n">
        <x:f>B164*Assumptions!$B$8*C164</x:f>
        <x:v>4645.211585218919</x:v>
      </x:c>
      <x:c r="H164" s="14" t="str">
        <x:v>F</x:v>
      </x:c>
      <x:c r="I164" s="73" t="n">
        <x:v>570</x:v>
      </x:c>
    </x:row>
    <x:row r="165">
      <x:c r="A165" s="14" t="str">
        <x:v>APP-0012574</x:v>
      </x:c>
      <x:c r="B165" s="67" t="n">
        <x:v>0.2209282461664993</x:v>
      </x:c>
      <x:c r="C165" s="70" t="n">
        <x:v>53117.77</x:v>
      </x:c>
      <x:c r="D165" s="73" t="n">
        <x:v>0</x:v>
      </x:c>
      <x:c r="E165" s="77" t="str">
        <x:f>IF(B165&lt;Assumptions!$B$6,"APPROVE_RECOMMENDATION",IF(B165&lt;Assumptions!$B$7,"REFER","DECLINE_RECOMMENDATION"))</x:f>
        <x:v>DECLINE_RECOMMENDATION</x:v>
      </x:c>
      <x:c r="F165" s="77" t="str">
        <x:f>IF(E165="APPROVE_RECOMMENDATION","NO","YES")</x:f>
        <x:v>YES</x:v>
      </x:c>
      <x:c r="G165" s="78" t="n">
        <x:f>B165*Assumptions!$B$8*C165</x:f>
        <x:v>5280.847094868971</x:v>
      </x:c>
      <x:c r="H165" s="14" t="str">
        <x:v>F</x:v>
      </x:c>
      <x:c r="I165" s="73" t="n">
        <x:v>582</x:v>
      </x:c>
    </x:row>
    <x:row r="166">
      <x:c r="A166" s="14" t="str">
        <x:v>APP-0014829</x:v>
      </x:c>
      <x:c r="B166" s="67" t="n">
        <x:v>0.17941693524205513</x:v>
      </x:c>
      <x:c r="C166" s="70" t="n">
        <x:v>31150.65</x:v>
      </x:c>
      <x:c r="D166" s="73" t="n">
        <x:v>0</x:v>
      </x:c>
      <x:c r="E166" s="77" t="str">
        <x:f>IF(B166&lt;Assumptions!$B$6,"APPROVE_RECOMMENDATION",IF(B166&lt;Assumptions!$B$7,"REFER","DECLINE_RECOMMENDATION"))</x:f>
        <x:v>REFER</x:v>
      </x:c>
      <x:c r="F166" s="77" t="str">
        <x:f>IF(E166="APPROVE_RECOMMENDATION","NO","YES")</x:f>
        <x:v>YES</x:v>
      </x:c>
      <x:c r="G166" s="78" t="n">
        <x:f>B166*Assumptions!$B$8*C166</x:f>
        <x:v>2515.029369209066</x:v>
      </x:c>
      <x:c r="H166" s="14" t="str">
        <x:v>E</x:v>
      </x:c>
      <x:c r="I166" s="73" t="n">
        <x:v>601</x:v>
      </x:c>
    </x:row>
    <x:row r="167">
      <x:c r="A167" s="14" t="str">
        <x:v>APP-0018627</x:v>
      </x:c>
      <x:c r="B167" s="67" t="n">
        <x:v>0.11893773851709286</x:v>
      </x:c>
      <x:c r="C167" s="70" t="n">
        <x:v>196902.93</x:v>
      </x:c>
      <x:c r="D167" s="73" t="n">
        <x:v>0</x:v>
      </x:c>
      <x:c r="E167" s="77" t="str">
        <x:f>IF(B167&lt;Assumptions!$B$6,"APPROVE_RECOMMENDATION",IF(B167&lt;Assumptions!$B$7,"REFER","DECLINE_RECOMMENDATION"))</x:f>
        <x:v>REFER</x:v>
      </x:c>
      <x:c r="F167" s="77" t="str">
        <x:f>IF(E167="APPROVE_RECOMMENDATION","NO","YES")</x:f>
        <x:v>YES</x:v>
      </x:c>
      <x:c r="G167" s="78" t="n">
        <x:f>B167*Assumptions!$B$8*C167</x:f>
        <x:v>10538.635140715247</x:v>
      </x:c>
      <x:c r="H167" s="14" t="str">
        <x:v>D</x:v>
      </x:c>
      <x:c r="I167" s="73" t="n">
        <x:v>636</x:v>
      </x:c>
    </x:row>
    <x:row r="168">
      <x:c r="A168" s="14" t="str">
        <x:v>APP-0019330</x:v>
      </x:c>
      <x:c r="B168" s="67" t="n">
        <x:v>0.42026742401813916</x:v>
      </x:c>
      <x:c r="C168" s="70" t="n">
        <x:v>45498.83</x:v>
      </x:c>
      <x:c r="D168" s="73" t="n">
        <x:v>0</x:v>
      </x:c>
      <x:c r="E168" s="77" t="str">
        <x:f>IF(B168&lt;Assumptions!$B$6,"APPROVE_RECOMMENDATION",IF(B168&lt;Assumptions!$B$7,"REFER","DECLINE_RECOMMENDATION"))</x:f>
        <x:v>DECLINE_RECOMMENDATION</x:v>
      </x:c>
      <x:c r="F168" s="77" t="str">
        <x:f>IF(E168="APPROVE_RECOMMENDATION","NO","YES")</x:f>
        <x:v>YES</x:v>
      </x:c>
      <x:c r="G168" s="78" t="n">
        <x:f>B168*Assumptions!$B$8*C168</x:f>
        <x:v>8604.754235972654</x:v>
      </x:c>
      <x:c r="H168" s="14" t="str">
        <x:v>F</x:v>
      </x:c>
      <x:c r="I168" s="73" t="n">
        <x:v>515</x:v>
      </x:c>
    </x:row>
    <x:row r="169">
      <x:c r="A169" s="14" t="str">
        <x:v>APP-0019444</x:v>
      </x:c>
      <x:c r="B169" s="67" t="n">
        <x:v>0.17691402992031036</x:v>
      </x:c>
      <x:c r="C169" s="70" t="n">
        <x:v>17607.57</x:v>
      </x:c>
      <x:c r="D169" s="73" t="n">
        <x:v>0</x:v>
      </x:c>
      <x:c r="E169" s="77" t="str">
        <x:f>IF(B169&lt;Assumptions!$B$6,"APPROVE_RECOMMENDATION",IF(B169&lt;Assumptions!$B$7,"REFER","DECLINE_RECOMMENDATION"))</x:f>
        <x:v>REFER</x:v>
      </x:c>
      <x:c r="F169" s="77" t="str">
        <x:f>IF(E169="APPROVE_RECOMMENDATION","NO","YES")</x:f>
        <x:v>YES</x:v>
      </x:c>
      <x:c r="G169" s="78" t="n">
        <x:f>B169*Assumptions!$B$8*C169</x:f>
        <x:v>1401.7617746117814</x:v>
      </x:c>
      <x:c r="H169" s="14" t="str">
        <x:v>E</x:v>
      </x:c>
      <x:c r="I169" s="73" t="n">
        <x:v>602</x:v>
      </x:c>
    </x:row>
    <x:row r="170">
      <x:c r="A170" s="14" t="str">
        <x:v>APP-0021408</x:v>
      </x:c>
      <x:c r="B170" s="67" t="n">
        <x:v>0.5625322071757767</x:v>
      </x:c>
      <x:c r="C170" s="70" t="n">
        <x:v>167261.27</x:v>
      </x:c>
      <x:c r="D170" s="73" t="n">
        <x:v>0</x:v>
      </x:c>
      <x:c r="E170" s="77" t="str">
        <x:f>IF(B170&lt;Assumptions!$B$6,"APPROVE_RECOMMENDATION",IF(B170&lt;Assumptions!$B$7,"REFER","DECLINE_RECOMMENDATION"))</x:f>
        <x:v>DECLINE_RECOMMENDATION</x:v>
      </x:c>
      <x:c r="F170" s="77" t="str">
        <x:f>IF(E170="APPROVE_RECOMMENDATION","NO","YES")</x:f>
        <x:v>YES</x:v>
      </x:c>
      <x:c r="G170" s="78" t="n">
        <x:f>B170*Assumptions!$B$8*C170</x:f>
        <x:v>42340.43312465558</x:v>
      </x:c>
      <x:c r="H170" s="14" t="str">
        <x:v>F</x:v>
      </x:c>
      <x:c r="I170" s="73" t="n">
        <x:v>473</x:v>
      </x:c>
    </x:row>
    <x:row r="171">
      <x:c r="A171" s="14" t="str">
        <x:v>APP-0021568</x:v>
      </x:c>
      <x:c r="B171" s="67" t="n">
        <x:v>0.02885008947542774</x:v>
      </x:c>
      <x:c r="C171" s="70" t="n">
        <x:v>32964.17</x:v>
      </x:c>
      <x:c r="D171" s="73" t="n">
        <x:v>0</x:v>
      </x:c>
      <x:c r="E171" s="77" t="str">
        <x:f>IF(B171&lt;Assumptions!$B$6,"APPROVE_RECOMMENDATION",IF(B171&lt;Assumptions!$B$7,"REFER","DECLINE_RECOMMENDATION"))</x:f>
        <x:v>APPROVE_RECOMMENDATION</x:v>
      </x:c>
      <x:c r="F171" s="77" t="str">
        <x:f>IF(E171="APPROVE_RECOMMENDATION","NO","YES")</x:f>
        <x:v>NO</x:v>
      </x:c>
      <x:c r="G171" s="78" t="n">
        <x:f>B171*Assumptions!$B$8*C171</x:f>
        <x:v>427.95866429244484</x:v>
      </x:c>
      <x:c r="H171" s="14" t="str">
        <x:v>A</x:v>
      </x:c>
      <x:c r="I171" s="73" t="n">
        <x:v>745</x:v>
      </x:c>
    </x:row>
    <x:row r="172">
      <x:c r="A172" s="14" t="str">
        <x:v>APP-0022411</x:v>
      </x:c>
      <x:c r="B172" s="67" t="n">
        <x:v>0.3741009748607935</x:v>
      </x:c>
      <x:c r="C172" s="70" t="n">
        <x:v>22140.11</x:v>
      </x:c>
      <x:c r="D172" s="73" t="n">
        <x:v>0</x:v>
      </x:c>
      <x:c r="E172" s="77" t="str">
        <x:f>IF(B172&lt;Assumptions!$B$6,"APPROVE_RECOMMENDATION",IF(B172&lt;Assumptions!$B$7,"REFER","DECLINE_RECOMMENDATION"))</x:f>
        <x:v>DECLINE_RECOMMENDATION</x:v>
      </x:c>
      <x:c r="F172" s="77" t="str">
        <x:f>IF(E172="APPROVE_RECOMMENDATION","NO","YES")</x:f>
        <x:v>YES</x:v>
      </x:c>
      <x:c r="G172" s="78" t="n">
        <x:f>B172*Assumptions!$B$8*C172</x:f>
        <x:v>3727.186530536342</x:v>
      </x:c>
      <x:c r="H172" s="14" t="str">
        <x:v>F</x:v>
      </x:c>
      <x:c r="I172" s="73" t="n">
        <x:v>529</x:v>
      </x:c>
    </x:row>
    <x:row r="173">
      <x:c r="A173" s="14" t="str">
        <x:v>APP-0022914</x:v>
      </x:c>
      <x:c r="B173" s="67" t="n">
        <x:v>0.23014565861203953</x:v>
      </x:c>
      <x:c r="C173" s="70" t="n">
        <x:v>41576.43</x:v>
      </x:c>
      <x:c r="D173" s="73" t="n">
        <x:v>0</x:v>
      </x:c>
      <x:c r="E173" s="77" t="str">
        <x:f>IF(B173&lt;Assumptions!$B$6,"APPROVE_RECOMMENDATION",IF(B173&lt;Assumptions!$B$7,"REFER","DECLINE_RECOMMENDATION"))</x:f>
        <x:v>DECLINE_RECOMMENDATION</x:v>
      </x:c>
      <x:c r="F173" s="77" t="str">
        <x:f>IF(E173="APPROVE_RECOMMENDATION","NO","YES")</x:f>
        <x:v>YES</x:v>
      </x:c>
      <x:c r="G173" s="78" t="n">
        <x:f>B173*Assumptions!$B$8*C173</x:f>
        <x:v>4305.885689289312</x:v>
      </x:c>
      <x:c r="H173" s="14" t="str">
        <x:v>F</x:v>
      </x:c>
      <x:c r="I173" s="73" t="n">
        <x:v>579</x:v>
      </x:c>
    </x:row>
    <x:row r="174">
      <x:c r="A174" s="14" t="str">
        <x:v>APP-0025093</x:v>
      </x:c>
      <x:c r="B174" s="67" t="n">
        <x:v>0.07299978774178041</x:v>
      </x:c>
      <x:c r="C174" s="70" t="n">
        <x:v>34487.46</x:v>
      </x:c>
      <x:c r="D174" s="73" t="n">
        <x:v>0</x:v>
      </x:c>
      <x:c r="E174" s="77" t="str">
        <x:f>IF(B174&lt;Assumptions!$B$6,"APPROVE_RECOMMENDATION",IF(B174&lt;Assumptions!$B$7,"REFER","DECLINE_RECOMMENDATION"))</x:f>
        <x:v>APPROVE_RECOMMENDATION</x:v>
      </x:c>
      <x:c r="F174" s="77" t="str">
        <x:f>IF(E174="APPROVE_RECOMMENDATION","NO","YES")</x:f>
        <x:v>NO</x:v>
      </x:c>
      <x:c r="G174" s="78" t="n">
        <x:f>B174*Assumptions!$B$8*C174</x:f>
        <x:v>1132.909766888914</x:v>
      </x:c>
      <x:c r="H174" s="14" t="str">
        <x:v>C</x:v>
      </x:c>
      <x:c r="I174" s="73" t="n">
        <x:v>675</x:v>
      </x:c>
    </x:row>
    <x:row r="175">
      <x:c r="A175" s="14" t="str">
        <x:v>APP-0026391</x:v>
      </x:c>
      <x:c r="B175" s="67" t="n">
        <x:v>0.08358119788045575</x:v>
      </x:c>
      <x:c r="C175" s="70" t="n">
        <x:v>73402.57</x:v>
      </x:c>
      <x:c r="D175" s="73" t="n">
        <x:v>0</x:v>
      </x:c>
      <x:c r="E175" s="77" t="str">
        <x:f>IF(B175&lt;Assumptions!$B$6,"APPROVE_RECOMMENDATION",IF(B175&lt;Assumptions!$B$7,"REFER","DECLINE_RECOMMENDATION"))</x:f>
        <x:v>APPROVE_RECOMMENDATION</x:v>
      </x:c>
      <x:c r="F175" s="77" t="str">
        <x:f>IF(E175="APPROVE_RECOMMENDATION","NO","YES")</x:f>
        <x:v>NO</x:v>
      </x:c>
      <x:c r="G175" s="78" t="n">
        <x:f>B175*Assumptions!$B$8*C175</x:f>
        <x:v>2760.7836276468024</x:v>
      </x:c>
      <x:c r="H175" s="14" t="str">
        <x:v>C</x:v>
      </x:c>
      <x:c r="I175" s="73" t="n">
        <x:v>664</x:v>
      </x:c>
    </x:row>
    <x:row r="176">
      <x:c r="A176" s="14" t="str">
        <x:v>APP-0027246</x:v>
      </x:c>
      <x:c r="B176" s="67" t="n">
        <x:v>0.05686583035047998</x:v>
      </x:c>
      <x:c r="C176" s="70" t="n">
        <x:v>135242.58</x:v>
      </x:c>
      <x:c r="D176" s="73" t="n">
        <x:v>0</x:v>
      </x:c>
      <x:c r="E176" s="77" t="str">
        <x:f>IF(B176&lt;Assumptions!$B$6,"APPROVE_RECOMMENDATION",IF(B176&lt;Assumptions!$B$7,"REFER","DECLINE_RECOMMENDATION"))</x:f>
        <x:v>APPROVE_RECOMMENDATION</x:v>
      </x:c>
      <x:c r="F176" s="77" t="str">
        <x:f>IF(E176="APPROVE_RECOMMENDATION","NO","YES")</x:f>
        <x:v>NO</x:v>
      </x:c>
      <x:c r="G176" s="78" t="n">
        <x:f>B176*Assumptions!$B$8*C176</x:f>
        <x:v>3460.8067246985474</x:v>
      </x:c>
      <x:c r="H176" s="14" t="str">
        <x:v>B</x:v>
      </x:c>
      <x:c r="I176" s="73" t="n">
        <x:v>694</x:v>
      </x:c>
    </x:row>
    <x:row r="177">
      <x:c r="A177" s="14" t="str">
        <x:v>APP-0027591</x:v>
      </x:c>
      <x:c r="B177" s="67" t="n">
        <x:v>0.08801208785018773</x:v>
      </x:c>
      <x:c r="C177" s="70" t="n">
        <x:v>61647.85</x:v>
      </x:c>
      <x:c r="D177" s="73" t="n">
        <x:v>0</x:v>
      </x:c>
      <x:c r="E177" s="77" t="str">
        <x:f>IF(B177&lt;Assumptions!$B$6,"APPROVE_RECOMMENDATION",IF(B177&lt;Assumptions!$B$7,"REFER","DECLINE_RECOMMENDATION"))</x:f>
        <x:v>APPROVE_RECOMMENDATION</x:v>
      </x:c>
      <x:c r="F177" s="77" t="str">
        <x:f>IF(E177="APPROVE_RECOMMENDATION","NO","YES")</x:f>
        <x:v>NO</x:v>
      </x:c>
      <x:c r="G177" s="78" t="n">
        <x:f>B177*Assumptions!$B$8*C177</x:f>
        <x:v>2441.5901954888377</x:v>
      </x:c>
      <x:c r="H177" s="14" t="str">
        <x:v>C</x:v>
      </x:c>
      <x:c r="I177" s="73" t="n">
        <x:v>660</x:v>
      </x:c>
    </x:row>
    <x:row r="178">
      <x:c r="A178" s="14" t="str">
        <x:v>APP-0028761</x:v>
      </x:c>
      <x:c r="B178" s="67" t="n">
        <x:v>0.06383359358384233</x:v>
      </x:c>
      <x:c r="C178" s="70" t="n">
        <x:v>29896.61</x:v>
      </x:c>
      <x:c r="D178" s="73" t="n">
        <x:v>0</x:v>
      </x:c>
      <x:c r="E178" s="77" t="str">
        <x:f>IF(B178&lt;Assumptions!$B$6,"APPROVE_RECOMMENDATION",IF(B178&lt;Assumptions!$B$7,"REFER","DECLINE_RECOMMENDATION"))</x:f>
        <x:v>APPROVE_RECOMMENDATION</x:v>
      </x:c>
      <x:c r="F178" s="77" t="str">
        <x:f>IF(E178="APPROVE_RECOMMENDATION","NO","YES")</x:f>
        <x:v>NO</x:v>
      </x:c>
      <x:c r="G178" s="78" t="n">
        <x:f>B178*Assumptions!$B$8*C178</x:f>
        <x:v>858.7836235235865</x:v>
      </x:c>
      <x:c r="H178" s="14" t="str">
        <x:v>C</x:v>
      </x:c>
      <x:c r="I178" s="73" t="n">
        <x:v>685</x:v>
      </x:c>
    </x:row>
    <x:row r="179">
      <x:c r="A179" s="14" t="str">
        <x:v>APP-0029323</x:v>
      </x:c>
      <x:c r="B179" s="67" t="n">
        <x:v>0.03451754368542716</x:v>
      </x:c>
      <x:c r="C179" s="70" t="n">
        <x:v>73993.4</x:v>
      </x:c>
      <x:c r="D179" s="73" t="n">
        <x:v>0</x:v>
      </x:c>
      <x:c r="E179" s="77" t="str">
        <x:f>IF(B179&lt;Assumptions!$B$6,"APPROVE_RECOMMENDATION",IF(B179&lt;Assumptions!$B$7,"REFER","DECLINE_RECOMMENDATION"))</x:f>
        <x:v>APPROVE_RECOMMENDATION</x:v>
      </x:c>
      <x:c r="F179" s="77" t="str">
        <x:f>IF(E179="APPROVE_RECOMMENDATION","NO","YES")</x:f>
        <x:v>NO</x:v>
      </x:c>
      <x:c r="G179" s="78" t="n">
        <x:f>B179*Assumptions!$B$8*C179</x:f>
        <x:v>1149.3316876199785</x:v>
      </x:c>
      <x:c r="H179" s="14" t="str">
        <x:v>B</x:v>
      </x:c>
      <x:c r="I179" s="73" t="n">
        <x:v>732</x:v>
      </x:c>
    </x:row>
    <x:row r="180">
      <x:c r="A180" s="14" t="str">
        <x:v>APP-0032303</x:v>
      </x:c>
      <x:c r="B180" s="67" t="n">
        <x:v>0.13373464316933342</x:v>
      </x:c>
      <x:c r="C180" s="70" t="n">
        <x:v>49269.23</x:v>
      </x:c>
      <x:c r="D180" s="73" t="n">
        <x:v>0</x:v>
      </x:c>
      <x:c r="E180" s="77" t="str">
        <x:f>IF(B180&lt;Assumptions!$B$6,"APPROVE_RECOMMENDATION",IF(B180&lt;Assumptions!$B$7,"REFER","DECLINE_RECOMMENDATION"))</x:f>
        <x:v>REFER</x:v>
      </x:c>
      <x:c r="F180" s="77" t="str">
        <x:f>IF(E180="APPROVE_RECOMMENDATION","NO","YES")</x:f>
        <x:v>YES</x:v>
      </x:c>
      <x:c r="G180" s="78" t="n">
        <x:f>B180*Assumptions!$B$8*C180</x:f>
        <x:v>2965.051301975018</x:v>
      </x:c>
      <x:c r="H180" s="14" t="str">
        <x:v>D</x:v>
      </x:c>
      <x:c r="I180" s="73" t="n">
        <x:v>626</x:v>
      </x:c>
    </x:row>
    <x:row r="181">
      <x:c r="A181" s="14" t="str">
        <x:v>APP-0034261</x:v>
      </x:c>
      <x:c r="B181" s="67" t="n">
        <x:v>0.1252432463671392</x:v>
      </x:c>
      <x:c r="C181" s="70" t="n">
        <x:v>44170.23</x:v>
      </x:c>
      <x:c r="D181" s="73" t="n">
        <x:v>1</x:v>
      </x:c>
      <x:c r="E181" s="77" t="str">
        <x:f>IF(B181&lt;Assumptions!$B$6,"APPROVE_RECOMMENDATION",IF(B181&lt;Assumptions!$B$7,"REFER","DECLINE_RECOMMENDATION"))</x:f>
        <x:v>REFER</x:v>
      </x:c>
      <x:c r="F181" s="77" t="str">
        <x:f>IF(E181="APPROVE_RECOMMENDATION","NO","YES")</x:f>
        <x:v>YES</x:v>
      </x:c>
      <x:c r="G181" s="78" t="n">
        <x:f>B181*Assumptions!$B$8*C181</x:f>
        <x:v>2489.4103490924417</x:v>
      </x:c>
      <x:c r="H181" s="14" t="str">
        <x:v>D</x:v>
      </x:c>
      <x:c r="I181" s="73" t="n">
        <x:v>632</x:v>
      </x:c>
    </x:row>
    <x:row r="182">
      <x:c r="A182" s="14" t="str">
        <x:v>APP-0034334</x:v>
      </x:c>
      <x:c r="B182" s="67" t="n">
        <x:v>0.35929758955499513</x:v>
      </x:c>
      <x:c r="C182" s="70" t="n">
        <x:v>24251.64</x:v>
      </x:c>
      <x:c r="D182" s="73" t="n">
        <x:v>0</x:v>
      </x:c>
      <x:c r="E182" s="77" t="str">
        <x:f>IF(B182&lt;Assumptions!$B$6,"APPROVE_RECOMMENDATION",IF(B182&lt;Assumptions!$B$7,"REFER","DECLINE_RECOMMENDATION"))</x:f>
        <x:v>DECLINE_RECOMMENDATION</x:v>
      </x:c>
      <x:c r="F182" s="77" t="str">
        <x:f>IF(E182="APPROVE_RECOMMENDATION","NO","YES")</x:f>
        <x:v>YES</x:v>
      </x:c>
      <x:c r="G182" s="78" t="n">
        <x:f>B182*Assumptions!$B$8*C182</x:f>
        <x:v>3921.100107639976</x:v>
      </x:c>
      <x:c r="H182" s="14" t="str">
        <x:v>F</x:v>
      </x:c>
      <x:c r="I182" s="73" t="n">
        <x:v>533</x:v>
      </x:c>
    </x:row>
    <x:row r="183">
      <x:c r="A183" s="14" t="str">
        <x:v>APP-0034677</x:v>
      </x:c>
      <x:c r="B183" s="67" t="n">
        <x:v>0.15012287661373389</x:v>
      </x:c>
      <x:c r="C183" s="70" t="n">
        <x:v>14827.31</x:v>
      </x:c>
      <x:c r="D183" s="73" t="n">
        <x:v>0</x:v>
      </x:c>
      <x:c r="E183" s="77" t="str">
        <x:f>IF(B183&lt;Assumptions!$B$6,"APPROVE_RECOMMENDATION",IF(B183&lt;Assumptions!$B$7,"REFER","DECLINE_RECOMMENDATION"))</x:f>
        <x:v>REFER</x:v>
      </x:c>
      <x:c r="F183" s="77" t="str">
        <x:f>IF(E183="APPROVE_RECOMMENDATION","NO","YES")</x:f>
        <x:v>YES</x:v>
      </x:c>
      <x:c r="G183" s="78" t="n">
        <x:f>B183*Assumptions!$B$8*C183</x:f>
        <x:v>1001.6632933396121</x:v>
      </x:c>
      <x:c r="H183" s="14" t="str">
        <x:v>E</x:v>
      </x:c>
      <x:c r="I183" s="73" t="n">
        <x:v>617</x:v>
      </x:c>
    </x:row>
    <x:row r="184">
      <x:c r="A184" s="14" t="str">
        <x:v>APP-0034939</x:v>
      </x:c>
      <x:c r="B184" s="67" t="n">
        <x:v>0.18605421480794382</x:v>
      </x:c>
      <x:c r="C184" s="70" t="n">
        <x:v>77629.86</x:v>
      </x:c>
      <x:c r="D184" s="73" t="n">
        <x:v>0</x:v>
      </x:c>
      <x:c r="E184" s="77" t="str">
        <x:f>IF(B184&lt;Assumptions!$B$6,"APPROVE_RECOMMENDATION",IF(B184&lt;Assumptions!$B$7,"REFER","DECLINE_RECOMMENDATION"))</x:f>
        <x:v>REFER</x:v>
      </x:c>
      <x:c r="F184" s="77" t="str">
        <x:f>IF(E184="APPROVE_RECOMMENDATION","NO","YES")</x:f>
        <x:v>YES</x:v>
      </x:c>
      <x:c r="G184" s="78" t="n">
        <x:f>B184*Assumptions!$B$8*C184</x:f>
        <x:v>6499.513191577772</x:v>
      </x:c>
      <x:c r="H184" s="14" t="str">
        <x:v>E</x:v>
      </x:c>
      <x:c r="I184" s="73" t="n">
        <x:v>598</x:v>
      </x:c>
    </x:row>
    <x:row r="185">
      <x:c r="A185" s="14" t="str">
        <x:v>APP-0035613</x:v>
      </x:c>
      <x:c r="B185" s="67" t="n">
        <x:v>0.13221177044307497</x:v>
      </x:c>
      <x:c r="C185" s="70" t="n">
        <x:v>47162.93</x:v>
      </x:c>
      <x:c r="D185" s="73" t="n">
        <x:v>0</x:v>
      </x:c>
      <x:c r="E185" s="77" t="str">
        <x:f>IF(B185&lt;Assumptions!$B$6,"APPROVE_RECOMMENDATION",IF(B185&lt;Assumptions!$B$7,"REFER","DECLINE_RECOMMENDATION"))</x:f>
        <x:v>REFER</x:v>
      </x:c>
      <x:c r="F185" s="77" t="str">
        <x:f>IF(E185="APPROVE_RECOMMENDATION","NO","YES")</x:f>
        <x:v>YES</x:v>
      </x:c>
      <x:c r="G185" s="78" t="n">
        <x:f>B185*Assumptions!$B$8*C185</x:f>
        <x:v>2805.9725135622666</x:v>
      </x:c>
      <x:c r="H185" s="14" t="str">
        <x:v>D</x:v>
      </x:c>
      <x:c r="I185" s="73" t="n">
        <x:v>627</x:v>
      </x:c>
    </x:row>
    <x:row r="186">
      <x:c r="A186" s="14" t="str">
        <x:v>APP-0038675</x:v>
      </x:c>
      <x:c r="B186" s="67" t="n">
        <x:v>0.2534656798645708</x:v>
      </x:c>
      <x:c r="C186" s="70" t="n">
        <x:v>81768.48</x:v>
      </x:c>
      <x:c r="D186" s="73" t="n">
        <x:v>0</x:v>
      </x:c>
      <x:c r="E186" s="77" t="str">
        <x:f>IF(B186&lt;Assumptions!$B$6,"APPROVE_RECOMMENDATION",IF(B186&lt;Assumptions!$B$7,"REFER","DECLINE_RECOMMENDATION"))</x:f>
        <x:v>DECLINE_RECOMMENDATION</x:v>
      </x:c>
      <x:c r="F186" s="77" t="str">
        <x:f>IF(E186="APPROVE_RECOMMENDATION","NO","YES")</x:f>
        <x:v>YES</x:v>
      </x:c>
      <x:c r="G186" s="78" t="n">
        <x:f>B186*Assumptions!$B$8*C186</x:f>
        <x:v>9326.476518611653</x:v>
      </x:c>
      <x:c r="H186" s="14" t="str">
        <x:v>F</x:v>
      </x:c>
      <x:c r="I186" s="73" t="n">
        <x:v>569</x:v>
      </x:c>
    </x:row>
    <x:row r="187">
      <x:c r="A187" s="14" t="str">
        <x:v>APP-0042308</x:v>
      </x:c>
      <x:c r="B187" s="67" t="n">
        <x:v>0.19304045189435187</x:v>
      </x:c>
      <x:c r="C187" s="70" t="n">
        <x:v>53691.68</x:v>
      </x:c>
      <x:c r="D187" s="73" t="n">
        <x:v>0</x:v>
      </x:c>
      <x:c r="E187" s="77" t="str">
        <x:f>IF(B187&lt;Assumptions!$B$6,"APPROVE_RECOMMENDATION",IF(B187&lt;Assumptions!$B$7,"REFER","DECLINE_RECOMMENDATION"))</x:f>
        <x:v>REFER</x:v>
      </x:c>
      <x:c r="F187" s="77" t="str">
        <x:f>IF(E187="APPROVE_RECOMMENDATION","NO","YES")</x:f>
        <x:v>YES</x:v>
      </x:c>
      <x:c r="G187" s="78" t="n">
        <x:f>B187*Assumptions!$B$8*C187</x:f>
        <x:v>4664.099776575121</x:v>
      </x:c>
      <x:c r="H187" s="14" t="str">
        <x:v>E</x:v>
      </x:c>
      <x:c r="I187" s="73" t="n">
        <x:v>595</x:v>
      </x:c>
    </x:row>
    <x:row r="188">
      <x:c r="A188" s="14" t="str">
        <x:v>APP-0042515</x:v>
      </x:c>
      <x:c r="B188" s="67" t="n">
        <x:v>0.04279606973755553</x:v>
      </x:c>
      <x:c r="C188" s="70" t="n">
        <x:v>32515.76</x:v>
      </x:c>
      <x:c r="D188" s="73" t="n">
        <x:v>1</x:v>
      </x:c>
      <x:c r="E188" s="77" t="str">
        <x:f>IF(B188&lt;Assumptions!$B$6,"APPROVE_RECOMMENDATION",IF(B188&lt;Assumptions!$B$7,"REFER","DECLINE_RECOMMENDATION"))</x:f>
        <x:v>APPROVE_RECOMMENDATION</x:v>
      </x:c>
      <x:c r="F188" s="77" t="str">
        <x:f>IF(E188="APPROVE_RECOMMENDATION","NO","YES")</x:f>
        <x:v>NO</x:v>
      </x:c>
      <x:c r="G188" s="78" t="n">
        <x:f>B188*Assumptions!$B$8*C188</x:f>
        <x:v>626.1960296383284</x:v>
      </x:c>
      <x:c r="H188" s="14" t="str">
        <x:v>B</x:v>
      </x:c>
      <x:c r="I188" s="73" t="n">
        <x:v>716</x:v>
      </x:c>
    </x:row>
    <x:row r="189">
      <x:c r="A189" s="14" t="str">
        <x:v>APP-0043090</x:v>
      </x:c>
      <x:c r="B189" s="67" t="n">
        <x:v>0.023685789103193147</x:v>
      </x:c>
      <x:c r="C189" s="70" t="n">
        <x:v>64339.47</x:v>
      </x:c>
      <x:c r="D189" s="73" t="n">
        <x:v>0</x:v>
      </x:c>
      <x:c r="E189" s="77" t="str">
        <x:f>IF(B189&lt;Assumptions!$B$6,"APPROVE_RECOMMENDATION",IF(B189&lt;Assumptions!$B$7,"REFER","DECLINE_RECOMMENDATION"))</x:f>
        <x:v>APPROVE_RECOMMENDATION</x:v>
      </x:c>
      <x:c r="F189" s="77" t="str">
        <x:f>IF(E189="APPROVE_RECOMMENDATION","NO","YES")</x:f>
        <x:v>NO</x:v>
      </x:c>
      <x:c r="G189" s="78" t="n">
        <x:f>B189*Assumptions!$B$8*C189</x:f>
        <x:v>685.7690028440502</x:v>
      </x:c>
      <x:c r="H189" s="14" t="str">
        <x:v>A</x:v>
      </x:c>
      <x:c r="I189" s="73" t="n">
        <x:v>760</x:v>
      </x:c>
    </x:row>
    <x:row r="190">
      <x:c r="A190" s="14" t="str">
        <x:v>APP-0047641</x:v>
      </x:c>
      <x:c r="B190" s="67" t="n">
        <x:v>0.032100465667247634</x:v>
      </x:c>
      <x:c r="C190" s="70" t="n">
        <x:v>34310.15</x:v>
      </x:c>
      <x:c r="D190" s="73" t="n">
        <x:v>0</x:v>
      </x:c>
      <x:c r="E190" s="77" t="str">
        <x:f>IF(B190&lt;Assumptions!$B$6,"APPROVE_RECOMMENDATION",IF(B190&lt;Assumptions!$B$7,"REFER","DECLINE_RECOMMENDATION"))</x:f>
        <x:v>APPROVE_RECOMMENDATION</x:v>
      </x:c>
      <x:c r="F190" s="77" t="str">
        <x:f>IF(E190="APPROVE_RECOMMENDATION","NO","YES")</x:f>
        <x:v>NO</x:v>
      </x:c>
      <x:c r="G190" s="78" t="n">
        <x:f>B190*Assumptions!$B$8*C190</x:f>
        <x:v>495.61730645090245</x:v>
      </x:c>
      <x:c r="H190" s="14" t="str">
        <x:v>B</x:v>
      </x:c>
      <x:c r="I190" s="73" t="n">
        <x:v>737</x:v>
      </x:c>
    </x:row>
    <x:row r="191">
      <x:c r="A191" s="14" t="str">
        <x:v>APP-0000058</x:v>
      </x:c>
      <x:c r="B191" s="67" t="n">
        <x:v>0.06036382854273748</x:v>
      </x:c>
      <x:c r="C191" s="70" t="n">
        <x:v>228958.66</x:v>
      </x:c>
      <x:c r="D191" s="73" t="n">
        <x:v>0</x:v>
      </x:c>
      <x:c r="E191" s="77" t="str">
        <x:f>IF(B191&lt;Assumptions!$B$6,"APPROVE_RECOMMENDATION",IF(B191&lt;Assumptions!$B$7,"REFER","DECLINE_RECOMMENDATION"))</x:f>
        <x:v>APPROVE_RECOMMENDATION</x:v>
      </x:c>
      <x:c r="F191" s="77" t="str">
        <x:f>IF(E191="APPROVE_RECOMMENDATION","NO","YES")</x:f>
        <x:v>NO</x:v>
      </x:c>
      <x:c r="G191" s="78" t="n">
        <x:f>B191*Assumptions!$B$8*C191</x:f>
        <x:v>6219.369583026717</x:v>
      </x:c>
      <x:c r="H191" s="14" t="str">
        <x:v>C</x:v>
      </x:c>
      <x:c r="I191" s="73" t="n">
        <x:v>690</x:v>
      </x:c>
    </x:row>
    <x:row r="192">
      <x:c r="A192" s="14" t="str">
        <x:v>APP-0001185</x:v>
      </x:c>
      <x:c r="B192" s="67" t="n">
        <x:v>0.05631268313016972</x:v>
      </x:c>
      <x:c r="C192" s="70" t="n">
        <x:v>106767.92</x:v>
      </x:c>
      <x:c r="D192" s="73" t="n">
        <x:v>0</x:v>
      </x:c>
      <x:c r="E192" s="77" t="str">
        <x:f>IF(B192&lt;Assumptions!$B$6,"APPROVE_RECOMMENDATION",IF(B192&lt;Assumptions!$B$7,"REFER","DECLINE_RECOMMENDATION"))</x:f>
        <x:v>APPROVE_RECOMMENDATION</x:v>
      </x:c>
      <x:c r="F192" s="77" t="str">
        <x:f>IF(E192="APPROVE_RECOMMENDATION","NO","YES")</x:f>
        <x:v>NO</x:v>
      </x:c>
      <x:c r="G192" s="78" t="n">
        <x:f>B192*Assumptions!$B$8*C192</x:f>
        <x:v>2705.5746213422894</x:v>
      </x:c>
      <x:c r="H192" s="14" t="str">
        <x:v>B</x:v>
      </x:c>
      <x:c r="I192" s="73" t="n">
        <x:v>695</x:v>
      </x:c>
    </x:row>
    <x:row r="193">
      <x:c r="A193" s="14" t="str">
        <x:v>APP-0001791</x:v>
      </x:c>
      <x:c r="B193" s="67" t="n">
        <x:v>0.3429107115593157</x:v>
      </x:c>
      <x:c r="C193" s="70" t="n">
        <x:v>18124.11</x:v>
      </x:c>
      <x:c r="D193" s="73" t="n">
        <x:v>0</x:v>
      </x:c>
      <x:c r="E193" s="77" t="str">
        <x:f>IF(B193&lt;Assumptions!$B$6,"APPROVE_RECOMMENDATION",IF(B193&lt;Assumptions!$B$7,"REFER","DECLINE_RECOMMENDATION"))</x:f>
        <x:v>DECLINE_RECOMMENDATION</x:v>
      </x:c>
      <x:c r="F193" s="77" t="str">
        <x:f>IF(E193="APPROVE_RECOMMENDATION","NO","YES")</x:f>
        <x:v>YES</x:v>
      </x:c>
      <x:c r="G193" s="78" t="n">
        <x:f>B193*Assumptions!$B$8*C193</x:f>
        <x:v>2796.7281554156893</x:v>
      </x:c>
      <x:c r="H193" s="14" t="str">
        <x:v>F</x:v>
      </x:c>
      <x:c r="I193" s="73" t="n">
        <x:v>538</x:v>
      </x:c>
    </x:row>
    <x:row r="194">
      <x:c r="A194" s="14" t="str">
        <x:v>APP-0002330</x:v>
      </x:c>
      <x:c r="B194" s="67" t="n">
        <x:v>0.06519980515868556</x:v>
      </x:c>
      <x:c r="C194" s="70" t="n">
        <x:v>20589.32</x:v>
      </x:c>
      <x:c r="D194" s="73" t="n">
        <x:v>0</x:v>
      </x:c>
      <x:c r="E194" s="77" t="str">
        <x:f>IF(B194&lt;Assumptions!$B$6,"APPROVE_RECOMMENDATION",IF(B194&lt;Assumptions!$B$7,"REFER","DECLINE_RECOMMENDATION"))</x:f>
        <x:v>APPROVE_RECOMMENDATION</x:v>
      </x:c>
      <x:c r="F194" s="77" t="str">
        <x:f>IF(E194="APPROVE_RECOMMENDATION","NO","YES")</x:f>
        <x:v>NO</x:v>
      </x:c>
      <x:c r="G194" s="78" t="n">
        <x:f>B194*Assumptions!$B$8*C194</x:f>
        <x:v>604.0888435574225</x:v>
      </x:c>
      <x:c r="H194" s="14" t="str">
        <x:v>C</x:v>
      </x:c>
      <x:c r="I194" s="73" t="n">
        <x:v>684</x:v>
      </x:c>
    </x:row>
    <x:row r="195">
      <x:c r="A195" s="14" t="str">
        <x:v>APP-0004004</x:v>
      </x:c>
      <x:c r="B195" s="67" t="n">
        <x:v>0.27817403199037644</x:v>
      </x:c>
      <x:c r="C195" s="70" t="n">
        <x:v>10000</x:v>
      </x:c>
      <x:c r="D195" s="73" t="n">
        <x:v>0</x:v>
      </x:c>
      <x:c r="E195" s="77" t="str">
        <x:f>IF(B195&lt;Assumptions!$B$6,"APPROVE_RECOMMENDATION",IF(B195&lt;Assumptions!$B$7,"REFER","DECLINE_RECOMMENDATION"))</x:f>
        <x:v>DECLINE_RECOMMENDATION</x:v>
      </x:c>
      <x:c r="F195" s="77" t="str">
        <x:f>IF(E195="APPROVE_RECOMMENDATION","NO","YES")</x:f>
        <x:v>YES</x:v>
      </x:c>
      <x:c r="G195" s="78" t="n">
        <x:f>B195*Assumptions!$B$8*C195</x:f>
        <x:v>1251.783143956694</x:v>
      </x:c>
      <x:c r="H195" s="14" t="str">
        <x:v>F</x:v>
      </x:c>
      <x:c r="I195" s="73" t="n">
        <x:v>560</x:v>
      </x:c>
    </x:row>
    <x:row r="196">
      <x:c r="A196" s="14" t="str">
        <x:v>APP-0007560</x:v>
      </x:c>
      <x:c r="B196" s="67" t="n">
        <x:v>0.027266062054118065</x:v>
      </x:c>
      <x:c r="C196" s="70" t="n">
        <x:v>68301.95</x:v>
      </x:c>
      <x:c r="D196" s="73" t="n">
        <x:v>0</x:v>
      </x:c>
      <x:c r="E196" s="77" t="str">
        <x:f>IF(B196&lt;Assumptions!$B$6,"APPROVE_RECOMMENDATION",IF(B196&lt;Assumptions!$B$7,"REFER","DECLINE_RECOMMENDATION"))</x:f>
        <x:v>APPROVE_RECOMMENDATION</x:v>
      </x:c>
      <x:c r="F196" s="77" t="str">
        <x:f>IF(E196="APPROVE_RECOMMENDATION","NO","YES")</x:f>
        <x:v>NO</x:v>
      </x:c>
      <x:c r="G196" s="78" t="n">
        <x:f>B196*Assumptions!$B$8*C196</x:f>
        <x:v>838.0463432027713</x:v>
      </x:c>
      <x:c r="H196" s="14" t="str">
        <x:v>A</x:v>
      </x:c>
      <x:c r="I196" s="73" t="n">
        <x:v>749</x:v>
      </x:c>
    </x:row>
    <x:row r="197">
      <x:c r="A197" s="14" t="str">
        <x:v>APP-0009053</x:v>
      </x:c>
      <x:c r="B197" s="67" t="n">
        <x:v>0.02901503898057414</x:v>
      </x:c>
      <x:c r="C197" s="70" t="n">
        <x:v>42490.93</x:v>
      </x:c>
      <x:c r="D197" s="73" t="n">
        <x:v>0</x:v>
      </x:c>
      <x:c r="E197" s="77" t="str">
        <x:f>IF(B197&lt;Assumptions!$B$6,"APPROVE_RECOMMENDATION",IF(B197&lt;Assumptions!$B$7,"REFER","DECLINE_RECOMMENDATION"))</x:f>
        <x:v>APPROVE_RECOMMENDATION</x:v>
      </x:c>
      <x:c r="F197" s="77" t="str">
        <x:f>IF(E197="APPROVE_RECOMMENDATION","NO","YES")</x:f>
        <x:v>NO</x:v>
      </x:c>
      <x:c r="G197" s="78" t="n">
        <x:f>B197*Assumptions!$B$8*C197</x:f>
        <x:v>554.7941956218813</x:v>
      </x:c>
      <x:c r="H197" s="14" t="str">
        <x:v>A</x:v>
      </x:c>
      <x:c r="I197" s="73" t="n">
        <x:v>745</x:v>
      </x:c>
    </x:row>
    <x:row r="198">
      <x:c r="A198" s="14" t="str">
        <x:v>APP-0009503</x:v>
      </x:c>
      <x:c r="B198" s="67" t="n">
        <x:v>0.12807155275498602</x:v>
      </x:c>
      <x:c r="C198" s="70" t="n">
        <x:v>84570.7</x:v>
      </x:c>
      <x:c r="D198" s="73" t="n">
        <x:v>0</x:v>
      </x:c>
      <x:c r="E198" s="77" t="str">
        <x:f>IF(B198&lt;Assumptions!$B$6,"APPROVE_RECOMMENDATION",IF(B198&lt;Assumptions!$B$7,"REFER","DECLINE_RECOMMENDATION"))</x:f>
        <x:v>REFER</x:v>
      </x:c>
      <x:c r="F198" s="77" t="str">
        <x:f>IF(E198="APPROVE_RECOMMENDATION","NO","YES")</x:f>
        <x:v>YES</x:v>
      </x:c>
      <x:c r="G198" s="78" t="n">
        <x:f>B198*Assumptions!$B$8*C198</x:f>
        <x:v>4873.995389959244</x:v>
      </x:c>
      <x:c r="H198" s="14" t="str">
        <x:v>D</x:v>
      </x:c>
      <x:c r="I198" s="73" t="n">
        <x:v>630</x:v>
      </x:c>
    </x:row>
    <x:row r="199">
      <x:c r="A199" s="14" t="str">
        <x:v>APP-0010205</x:v>
      </x:c>
      <x:c r="B199" s="67" t="n">
        <x:v>0.04493313613116915</x:v>
      </x:c>
      <x:c r="C199" s="70" t="n">
        <x:v>156583.72</x:v>
      </x:c>
      <x:c r="D199" s="73" t="n">
        <x:v>0</x:v>
      </x:c>
      <x:c r="E199" s="77" t="str">
        <x:f>IF(B199&lt;Assumptions!$B$6,"APPROVE_RECOMMENDATION",IF(B199&lt;Assumptions!$B$7,"REFER","DECLINE_RECOMMENDATION"))</x:f>
        <x:v>APPROVE_RECOMMENDATION</x:v>
      </x:c>
      <x:c r="F199" s="77" t="str">
        <x:f>IF(E199="APPROVE_RECOMMENDATION","NO","YES")</x:f>
        <x:v>NO</x:v>
      </x:c>
      <x:c r="G199" s="78" t="n">
        <x:f>B199*Assumptions!$B$8*C199</x:f>
        <x:v>3166.108923008193</x:v>
      </x:c>
      <x:c r="H199" s="14" t="str">
        <x:v>B</x:v>
      </x:c>
      <x:c r="I199" s="73" t="n">
        <x:v>712</x:v>
      </x:c>
    </x:row>
    <x:row r="200">
      <x:c r="A200" s="14" t="str">
        <x:v>APP-0010210</x:v>
      </x:c>
      <x:c r="B200" s="67" t="n">
        <x:v>0.22889621353901607</x:v>
      </x:c>
      <x:c r="C200" s="70" t="n">
        <x:v>36104.46</x:v>
      </x:c>
      <x:c r="D200" s="73" t="n">
        <x:v>0</x:v>
      </x:c>
      <x:c r="E200" s="77" t="str">
        <x:f>IF(B200&lt;Assumptions!$B$6,"APPROVE_RECOMMENDATION",IF(B200&lt;Assumptions!$B$7,"REFER","DECLINE_RECOMMENDATION"))</x:f>
        <x:v>DECLINE_RECOMMENDATION</x:v>
      </x:c>
      <x:c r="F200" s="77" t="str">
        <x:f>IF(E200="APPROVE_RECOMMENDATION","NO","YES")</x:f>
        <x:v>YES</x:v>
      </x:c>
      <x:c r="G200" s="78" t="n">
        <x:f>B200*Assumptions!$B$8*C200</x:f>
        <x:v>3718.878383641889</x:v>
      </x:c>
      <x:c r="H200" s="14" t="str">
        <x:v>F</x:v>
      </x:c>
      <x:c r="I200" s="73" t="n">
        <x:v>579</x:v>
      </x:c>
    </x:row>
    <x:row r="201">
      <x:c r="A201" s="14" t="str">
        <x:v>APP-0010381</x:v>
      </x:c>
      <x:c r="B201" s="67" t="n">
        <x:v>0.07001102178908712</x:v>
      </x:c>
      <x:c r="C201" s="70" t="n">
        <x:v>73731.33</x:v>
      </x:c>
      <x:c r="D201" s="73" t="n">
        <x:v>0</x:v>
      </x:c>
      <x:c r="E201" s="77" t="str">
        <x:f>IF(B201&lt;Assumptions!$B$6,"APPROVE_RECOMMENDATION",IF(B201&lt;Assumptions!$B$7,"REFER","DECLINE_RECOMMENDATION"))</x:f>
        <x:v>APPROVE_RECOMMENDATION</x:v>
      </x:c>
      <x:c r="F201" s="77" t="str">
        <x:f>IF(E201="APPROVE_RECOMMENDATION","NO","YES")</x:f>
        <x:v>NO</x:v>
      </x:c>
      <x:c r="G201" s="78" t="n">
        <x:f>B201*Assumptions!$B$8*C201</x:f>
        <x:v>2322.9025880257677</x:v>
      </x:c>
      <x:c r="H201" s="14" t="str">
        <x:v>C</x:v>
      </x:c>
      <x:c r="I201" s="73" t="n">
        <x:v>678</x:v>
      </x:c>
    </x:row>
    <x:row r="202">
      <x:c r="A202" s="14" t="str">
        <x:v>APP-0011044</x:v>
      </x:c>
      <x:c r="B202" s="67" t="n">
        <x:v>0.11932805022680931</x:v>
      </x:c>
      <x:c r="C202" s="70" t="n">
        <x:v>31664.6</x:v>
      </x:c>
      <x:c r="D202" s="73" t="n">
        <x:v>0</x:v>
      </x:c>
      <x:c r="E202" s="77" t="str">
        <x:f>IF(B202&lt;Assumptions!$B$6,"APPROVE_RECOMMENDATION",IF(B202&lt;Assumptions!$B$7,"REFER","DECLINE_RECOMMENDATION"))</x:f>
        <x:v>REFER</x:v>
      </x:c>
      <x:c r="F202" s="77" t="str">
        <x:f>IF(E202="APPROVE_RECOMMENDATION","NO","YES")</x:f>
        <x:v>YES</x:v>
      </x:c>
      <x:c r="G202" s="78" t="n">
        <x:f>B202*Assumptions!$B$8*C202</x:f>
        <x:v>1700.3137406453218</x:v>
      </x:c>
      <x:c r="H202" s="14" t="str">
        <x:v>D</x:v>
      </x:c>
      <x:c r="I202" s="73" t="n">
        <x:v>636</x:v>
      </x:c>
    </x:row>
    <x:row r="203">
      <x:c r="A203" s="14" t="str">
        <x:v>APP-0014988</x:v>
      </x:c>
      <x:c r="B203" s="67" t="n">
        <x:v>0.10820579183482702</x:v>
      </x:c>
      <x:c r="C203" s="70" t="n">
        <x:v>98636.24</x:v>
      </x:c>
      <x:c r="D203" s="73" t="n">
        <x:v>0</x:v>
      </x:c>
      <x:c r="E203" s="77" t="str">
        <x:f>IF(B203&lt;Assumptions!$B$6,"APPROVE_RECOMMENDATION",IF(B203&lt;Assumptions!$B$7,"REFER","DECLINE_RECOMMENDATION"))</x:f>
        <x:v>REFER</x:v>
      </x:c>
      <x:c r="F203" s="77" t="str">
        <x:f>IF(E203="APPROVE_RECOMMENDATION","NO","YES")</x:f>
        <x:v>YES</x:v>
      </x:c>
      <x:c r="G203" s="78" t="n">
        <x:f>B203*Assumptions!$B$8*C203</x:f>
        <x:v>4802.855603764518</x:v>
      </x:c>
      <x:c r="H203" s="14" t="str">
        <x:v>D</x:v>
      </x:c>
      <x:c r="I203" s="73" t="n">
        <x:v>644</x:v>
      </x:c>
    </x:row>
    <x:row r="204">
      <x:c r="A204" s="14" t="str">
        <x:v>APP-0018494</x:v>
      </x:c>
      <x:c r="B204" s="67" t="n">
        <x:v>0.26331406840261923</x:v>
      </x:c>
      <x:c r="C204" s="70" t="n">
        <x:v>93958.86</x:v>
      </x:c>
      <x:c r="D204" s="73" t="n">
        <x:v>0</x:v>
      </x:c>
      <x:c r="E204" s="77" t="str">
        <x:f>IF(B204&lt;Assumptions!$B$6,"APPROVE_RECOMMENDATION",IF(B204&lt;Assumptions!$B$7,"REFER","DECLINE_RECOMMENDATION"))</x:f>
        <x:v>DECLINE_RECOMMENDATION</x:v>
      </x:c>
      <x:c r="F204" s="77" t="str">
        <x:f>IF(E204="APPROVE_RECOMMENDATION","NO","YES")</x:f>
        <x:v>YES</x:v>
      </x:c>
      <x:c r="G204" s="78" t="n">
        <x:f>B204*Assumptions!$B$8*C204</x:f>
        <x:v>11133.310360082456</x:v>
      </x:c>
      <x:c r="H204" s="14" t="str">
        <x:v>F</x:v>
      </x:c>
      <x:c r="I204" s="73" t="n">
        <x:v>566</x:v>
      </x:c>
    </x:row>
    <x:row r="205">
      <x:c r="A205" s="14" t="str">
        <x:v>APP-0019418</x:v>
      </x:c>
      <x:c r="B205" s="67" t="n">
        <x:v>0.15744682814779126</x:v>
      </x:c>
      <x:c r="C205" s="70" t="n">
        <x:v>35464.25</x:v>
      </x:c>
      <x:c r="D205" s="73" t="n">
        <x:v>0</x:v>
      </x:c>
      <x:c r="E205" s="77" t="str">
        <x:f>IF(B205&lt;Assumptions!$B$6,"APPROVE_RECOMMENDATION",IF(B205&lt;Assumptions!$B$7,"REFER","DECLINE_RECOMMENDATION"))</x:f>
        <x:v>REFER</x:v>
      </x:c>
      <x:c r="F205" s="77" t="str">
        <x:f>IF(E205="APPROVE_RECOMMENDATION","NO","YES")</x:f>
        <x:v>YES</x:v>
      </x:c>
      <x:c r="G205" s="78" t="n">
        <x:f>B205*Assumptions!$B$8*C205</x:f>
        <x:v>2512.680153813138</x:v>
      </x:c>
      <x:c r="H205" s="14" t="str">
        <x:v>E</x:v>
      </x:c>
      <x:c r="I205" s="73" t="n">
        <x:v>612</x:v>
      </x:c>
    </x:row>
    <x:row r="206">
      <x:c r="A206" s="14" t="str">
        <x:v>APP-0020508</x:v>
      </x:c>
      <x:c r="B206" s="67" t="n">
        <x:v>0.24576046833794932</x:v>
      </x:c>
      <x:c r="C206" s="70" t="n">
        <x:v>17258.48</x:v>
      </x:c>
      <x:c r="D206" s="73" t="n">
        <x:v>1</x:v>
      </x:c>
      <x:c r="E206" s="77" t="str">
        <x:f>IF(B206&lt;Assumptions!$B$6,"APPROVE_RECOMMENDATION",IF(B206&lt;Assumptions!$B$7,"REFER","DECLINE_RECOMMENDATION"))</x:f>
        <x:v>DECLINE_RECOMMENDATION</x:v>
      </x:c>
      <x:c r="F206" s="77" t="str">
        <x:f>IF(E206="APPROVE_RECOMMENDATION","NO","YES")</x:f>
        <x:v>YES</x:v>
      </x:c>
      <x:c r="G206" s="78" t="n">
        <x:f>B206*Assumptions!$B$8*C206</x:f>
        <x:v>1908.653457420509</x:v>
      </x:c>
      <x:c r="H206" s="14" t="str">
        <x:v>F</x:v>
      </x:c>
      <x:c r="I206" s="73" t="n">
        <x:v>572</x:v>
      </x:c>
    </x:row>
    <x:row r="207">
      <x:c r="A207" s="14" t="str">
        <x:v>APP-0021197</x:v>
      </x:c>
      <x:c r="B207" s="67" t="n">
        <x:v>0.12065829292744375</x:v>
      </x:c>
      <x:c r="C207" s="70" t="n">
        <x:v>82539.39</x:v>
      </x:c>
      <x:c r="D207" s="73" t="n">
        <x:v>0</x:v>
      </x:c>
      <x:c r="E207" s="77" t="str">
        <x:f>IF(B207&lt;Assumptions!$B$6,"APPROVE_RECOMMENDATION",IF(B207&lt;Assumptions!$B$7,"REFER","DECLINE_RECOMMENDATION"))</x:f>
        <x:v>REFER</x:v>
      </x:c>
      <x:c r="F207" s="77" t="str">
        <x:f>IF(E207="APPROVE_RECOMMENDATION","NO","YES")</x:f>
        <x:v>YES</x:v>
      </x:c>
      <x:c r="G207" s="78" t="n">
        <x:f>B207*Assumptions!$B$8*C207</x:f>
        <x:v>4481.577853502635</x:v>
      </x:c>
      <x:c r="H207" s="14" t="str">
        <x:v>D</x:v>
      </x:c>
      <x:c r="I207" s="73" t="n">
        <x:v>635</x:v>
      </x:c>
    </x:row>
    <x:row r="208">
      <x:c r="A208" s="14" t="str">
        <x:v>APP-0025651</x:v>
      </x:c>
      <x:c r="B208" s="67" t="n">
        <x:v>0.0478580706237082</x:v>
      </x:c>
      <x:c r="C208" s="70" t="n">
        <x:v>29747.54</x:v>
      </x:c>
      <x:c r="D208" s="73" t="n">
        <x:v>0</x:v>
      </x:c>
      <x:c r="E208" s="77" t="str">
        <x:f>IF(B208&lt;Assumptions!$B$6,"APPROVE_RECOMMENDATION",IF(B208&lt;Assumptions!$B$7,"REFER","DECLINE_RECOMMENDATION"))</x:f>
        <x:v>APPROVE_RECOMMENDATION</x:v>
      </x:c>
      <x:c r="F208" s="77" t="str">
        <x:f>IF(E208="APPROVE_RECOMMENDATION","NO","YES")</x:f>
        <x:v>NO</x:v>
      </x:c>
      <x:c r="G208" s="78" t="n">
        <x:f>B208*Assumptions!$B$8*C208</x:f>
        <x:v>640.6469415907131</x:v>
      </x:c>
      <x:c r="H208" s="14" t="str">
        <x:v>B</x:v>
      </x:c>
      <x:c r="I208" s="73" t="n">
        <x:v>707</x:v>
      </x:c>
    </x:row>
    <x:row r="209">
      <x:c r="A209" s="14" t="str">
        <x:v>APP-0026321</x:v>
      </x:c>
      <x:c r="B209" s="67" t="n">
        <x:v>0.2192909042679193</x:v>
      </x:c>
      <x:c r="C209" s="70" t="n">
        <x:v>29189.3</x:v>
      </x:c>
      <x:c r="D209" s="73" t="n">
        <x:v>1</x:v>
      </x:c>
      <x:c r="E209" s="77" t="str">
        <x:f>IF(B209&lt;Assumptions!$B$6,"APPROVE_RECOMMENDATION",IF(B209&lt;Assumptions!$B$7,"REFER","DECLINE_RECOMMENDATION"))</x:f>
        <x:v>REFER</x:v>
      </x:c>
      <x:c r="F209" s="77" t="str">
        <x:f>IF(E209="APPROVE_RECOMMENDATION","NO","YES")</x:f>
        <x:v>YES</x:v>
      </x:c>
      <x:c r="G209" s="78" t="n">
        <x:f>B209*Assumptions!$B$8*C209</x:f>
        <x:v>2880.4265963764096</x:v>
      </x:c>
      <x:c r="H209" s="14" t="str">
        <x:v>E</x:v>
      </x:c>
      <x:c r="I209" s="73" t="n">
        <x:v>583</x:v>
      </x:c>
    </x:row>
    <x:row r="210">
      <x:c r="A210" s="14" t="str">
        <x:v>APP-0026563</x:v>
      </x:c>
      <x:c r="B210" s="67" t="n">
        <x:v>0.08091430848187244</x:v>
      </x:c>
      <x:c r="C210" s="70" t="n">
        <x:v>19127.77</x:v>
      </x:c>
      <x:c r="D210" s="73" t="n">
        <x:v>0</x:v>
      </x:c>
      <x:c r="E210" s="77" t="str">
        <x:f>IF(B210&lt;Assumptions!$B$6,"APPROVE_RECOMMENDATION",IF(B210&lt;Assumptions!$B$7,"REFER","DECLINE_RECOMMENDATION"))</x:f>
        <x:v>APPROVE_RECOMMENDATION</x:v>
      </x:c>
      <x:c r="F210" s="77" t="str">
        <x:f>IF(E210="APPROVE_RECOMMENDATION","NO","YES")</x:f>
        <x:v>NO</x:v>
      </x:c>
      <x:c r="G210" s="78" t="n">
        <x:f>B210*Assumptions!$B$8*C210</x:f>
        <x:v>696.4696270576374</x:v>
      </x:c>
      <x:c r="H210" s="14" t="str">
        <x:v>C</x:v>
      </x:c>
      <x:c r="I210" s="73" t="n">
        <x:v>667</x:v>
      </x:c>
    </x:row>
    <x:row r="211">
      <x:c r="A211" s="14" t="str">
        <x:v>APP-0031647</x:v>
      </x:c>
      <x:c r="B211" s="67" t="n">
        <x:v>0.1364657601179353</x:v>
      </x:c>
      <x:c r="C211" s="70" t="n">
        <x:v>10839.78</x:v>
      </x:c>
      <x:c r="D211" s="73" t="n">
        <x:v>0</x:v>
      </x:c>
      <x:c r="E211" s="77" t="str">
        <x:f>IF(B211&lt;Assumptions!$B$6,"APPROVE_RECOMMENDATION",IF(B211&lt;Assumptions!$B$7,"REFER","DECLINE_RECOMMENDATION"))</x:f>
        <x:v>REFER</x:v>
      </x:c>
      <x:c r="F211" s="77" t="str">
        <x:f>IF(E211="APPROVE_RECOMMENDATION","NO","YES")</x:f>
        <x:v>YES</x:v>
      </x:c>
      <x:c r="G211" s="78" t="n">
        <x:f>B211*Assumptions!$B$8*C211</x:f>
        <x:v>665.6664677450367</x:v>
      </x:c>
      <x:c r="H211" s="14" t="str">
        <x:v>D</x:v>
      </x:c>
      <x:c r="I211" s="73" t="n">
        <x:v>625</x:v>
      </x:c>
    </x:row>
    <x:row r="212">
      <x:c r="A212" s="14" t="str">
        <x:v>APP-0032080</x:v>
      </x:c>
      <x:c r="B212" s="67" t="n">
        <x:v>0.05872158838502692</x:v>
      </x:c>
      <x:c r="C212" s="70" t="n">
        <x:v>17734.83</x:v>
      </x:c>
      <x:c r="D212" s="73" t="n">
        <x:v>0</x:v>
      </x:c>
      <x:c r="E212" s="77" t="str">
        <x:f>IF(B212&lt;Assumptions!$B$6,"APPROVE_RECOMMENDATION",IF(B212&lt;Assumptions!$B$7,"REFER","DECLINE_RECOMMENDATION"))</x:f>
        <x:v>APPROVE_RECOMMENDATION</x:v>
      </x:c>
      <x:c r="F212" s="77" t="str">
        <x:f>IF(E212="APPROVE_RECOMMENDATION","NO","YES")</x:f>
        <x:v>NO</x:v>
      </x:c>
      <x:c r="G212" s="78" t="n">
        <x:f>B212*Assumptions!$B$8*C212</x:f>
        <x:v>468.63782430229213</x:v>
      </x:c>
      <x:c r="H212" s="14" t="str">
        <x:v>B</x:v>
      </x:c>
      <x:c r="I212" s="73" t="n">
        <x:v>692</x:v>
      </x:c>
    </x:row>
    <x:row r="213">
      <x:c r="A213" s="14" t="str">
        <x:v>APP-0034128</x:v>
      </x:c>
      <x:c r="B213" s="67" t="n">
        <x:v>0.059939704617961394</x:v>
      </x:c>
      <x:c r="C213" s="70" t="n">
        <x:v>303285.34</x:v>
      </x:c>
      <x:c r="D213" s="73" t="n">
        <x:v>0</x:v>
      </x:c>
      <x:c r="E213" s="77" t="str">
        <x:f>IF(B213&lt;Assumptions!$B$6,"APPROVE_RECOMMENDATION",IF(B213&lt;Assumptions!$B$7,"REFER","DECLINE_RECOMMENDATION"))</x:f>
        <x:v>APPROVE_RECOMMENDATION</x:v>
      </x:c>
      <x:c r="F213" s="77" t="str">
        <x:f>IF(E213="APPROVE_RECOMMENDATION","NO","YES")</x:f>
        <x:v>NO</x:v>
      </x:c>
      <x:c r="G213" s="78" t="n">
        <x:f>B213*Assumptions!$B$8*C213</x:f>
        <x:v>8180.475162551097</x:v>
      </x:c>
      <x:c r="H213" s="14" t="str">
        <x:v>B</x:v>
      </x:c>
      <x:c r="I213" s="73" t="n">
        <x:v>690</x:v>
      </x:c>
    </x:row>
    <x:row r="214">
      <x:c r="A214" s="14" t="str">
        <x:v>APP-0039837</x:v>
      </x:c>
      <x:c r="B214" s="67" t="n">
        <x:v>0.16855649132857284</x:v>
      </x:c>
      <x:c r="C214" s="70" t="n">
        <x:v>10917.11</x:v>
      </x:c>
      <x:c r="D214" s="73" t="n">
        <x:v>0</x:v>
      </x:c>
      <x:c r="E214" s="77" t="str">
        <x:f>IF(B214&lt;Assumptions!$B$6,"APPROVE_RECOMMENDATION",IF(B214&lt;Assumptions!$B$7,"REFER","DECLINE_RECOMMENDATION"))</x:f>
        <x:v>REFER</x:v>
      </x:c>
      <x:c r="F214" s="77" t="str">
        <x:f>IF(E214="APPROVE_RECOMMENDATION","NO","YES")</x:f>
        <x:v>YES</x:v>
      </x:c>
      <x:c r="G214" s="78" t="n">
        <x:f>B214*Assumptions!$B$8*C214</x:f>
        <x:v>828.0673906716341</x:v>
      </x:c>
      <x:c r="H214" s="14" t="str">
        <x:v>E</x:v>
      </x:c>
      <x:c r="I214" s="73" t="n">
        <x:v>607</x:v>
      </x:c>
    </x:row>
    <x:row r="215">
      <x:c r="A215" s="14" t="str">
        <x:v>APP-0041024</x:v>
      </x:c>
      <x:c r="B215" s="67" t="n">
        <x:v>0.08862740916391536</x:v>
      </x:c>
      <x:c r="C215" s="70" t="n">
        <x:v>40370.2</x:v>
      </x:c>
      <x:c r="D215" s="73" t="n">
        <x:v>0</x:v>
      </x:c>
      <x:c r="E215" s="77" t="str">
        <x:f>IF(B215&lt;Assumptions!$B$6,"APPROVE_RECOMMENDATION",IF(B215&lt;Assumptions!$B$7,"REFER","DECLINE_RECOMMENDATION"))</x:f>
        <x:v>APPROVE_RECOMMENDATION</x:v>
      </x:c>
      <x:c r="F215" s="77" t="str">
        <x:f>IF(E215="APPROVE_RECOMMENDATION","NO","YES")</x:f>
        <x:v>NO</x:v>
      </x:c>
      <x:c r="G215" s="78" t="n">
        <x:f>B215*Assumptions!$B$8*C215</x:f>
        <x:v>1610.057805043093</x:v>
      </x:c>
      <x:c r="H215" s="14" t="str">
        <x:v>C</x:v>
      </x:c>
      <x:c r="I215" s="73" t="n">
        <x:v>660</x:v>
      </x:c>
    </x:row>
    <x:row r="216">
      <x:c r="A216" s="14" t="str">
        <x:v>APP-0042186</x:v>
      </x:c>
      <x:c r="B216" s="67" t="n">
        <x:v>0.1502756544092967</x:v>
      </x:c>
      <x:c r="C216" s="70" t="n">
        <x:v>27102.95</x:v>
      </x:c>
      <x:c r="D216" s="73" t="n">
        <x:v>0</x:v>
      </x:c>
      <x:c r="E216" s="77" t="str">
        <x:f>IF(B216&lt;Assumptions!$B$6,"APPROVE_RECOMMENDATION",IF(B216&lt;Assumptions!$B$7,"REFER","DECLINE_RECOMMENDATION"))</x:f>
        <x:v>REFER</x:v>
      </x:c>
      <x:c r="F216" s="77" t="str">
        <x:f>IF(E216="APPROVE_RECOMMENDATION","NO","YES")</x:f>
        <x:v>YES</x:v>
      </x:c>
      <x:c r="G216" s="78" t="n">
        <x:f>B216*Assumptions!$B$8*C216</x:f>
        <x:v>1832.8110964526015</x:v>
      </x:c>
      <x:c r="H216" s="14" t="str">
        <x:v>E</x:v>
      </x:c>
      <x:c r="I216" s="73" t="n">
        <x:v>616</x:v>
      </x:c>
    </x:row>
    <x:row r="217">
      <x:c r="A217" s="14" t="str">
        <x:v>APP-0043718</x:v>
      </x:c>
      <x:c r="B217" s="67" t="n">
        <x:v>0.14937587857685156</x:v>
      </x:c>
      <x:c r="C217" s="70" t="n">
        <x:v>10278.09</x:v>
      </x:c>
      <x:c r="D217" s="73" t="n">
        <x:v>0</x:v>
      </x:c>
      <x:c r="E217" s="77" t="str">
        <x:f>IF(B217&lt;Assumptions!$B$6,"APPROVE_RECOMMENDATION",IF(B217&lt;Assumptions!$B$7,"REFER","DECLINE_RECOMMENDATION"))</x:f>
        <x:v>REFER</x:v>
      </x:c>
      <x:c r="F217" s="77" t="str">
        <x:f>IF(E217="APPROVE_RECOMMENDATION","NO","YES")</x:f>
        <x:v>YES</x:v>
      </x:c>
      <x:c r="G217" s="78" t="n">
        <x:f>B217*Assumptions!$B$8*C217</x:f>
        <x:v>690.8844257288786</x:v>
      </x:c>
      <x:c r="H217" s="14" t="str">
        <x:v>D</x:v>
      </x:c>
      <x:c r="I217" s="73" t="n">
        <x:v>617</x:v>
      </x:c>
    </x:row>
    <x:row r="218">
      <x:c r="A218" s="14" t="str">
        <x:v>APP-0046924</x:v>
      </x:c>
      <x:c r="B218" s="67" t="n">
        <x:v>0.19485360906215043</x:v>
      </x:c>
      <x:c r="C218" s="70" t="n">
        <x:v>15813.28</x:v>
      </x:c>
      <x:c r="D218" s="73" t="n">
        <x:v>0</x:v>
      </x:c>
      <x:c r="E218" s="77" t="str">
        <x:f>IF(B218&lt;Assumptions!$B$6,"APPROVE_RECOMMENDATION",IF(B218&lt;Assumptions!$B$7,"REFER","DECLINE_RECOMMENDATION"))</x:f>
        <x:v>REFER</x:v>
      </x:c>
      <x:c r="F218" s="77" t="str">
        <x:f>IF(E218="APPROVE_RECOMMENDATION","NO","YES")</x:f>
        <x:v>YES</x:v>
      </x:c>
      <x:c r="G218" s="78" t="n">
        <x:f>B218*Assumptions!$B$8*C218</x:f>
        <x:v>1386.5736055996451</x:v>
      </x:c>
      <x:c r="H218" s="14" t="str">
        <x:v>E</x:v>
      </x:c>
      <x:c r="I218" s="73" t="n">
        <x:v>594</x:v>
      </x:c>
    </x:row>
    <x:row r="219">
      <x:c r="A219" s="14" t="str">
        <x:v>APP-0047497</x:v>
      </x:c>
      <x:c r="B219" s="67" t="n">
        <x:v>0.21112561983922976</x:v>
      </x:c>
      <x:c r="C219" s="70" t="n">
        <x:v>15344.14</x:v>
      </x:c>
      <x:c r="D219" s="73" t="n">
        <x:v>1</x:v>
      </x:c>
      <x:c r="E219" s="77" t="str">
        <x:f>IF(B219&lt;Assumptions!$B$6,"APPROVE_RECOMMENDATION",IF(B219&lt;Assumptions!$B$7,"REFER","DECLINE_RECOMMENDATION"))</x:f>
        <x:v>REFER</x:v>
      </x:c>
      <x:c r="F219" s="77" t="str">
        <x:f>IF(E219="APPROVE_RECOMMENDATION","NO","YES")</x:f>
        <x:v>YES</x:v>
      </x:c>
      <x:c r="G219" s="78" t="n">
        <x:f>B219*Assumptions!$B$8*C219</x:f>
        <x:v>1457.7934807799634</x:v>
      </x:c>
      <x:c r="H219" s="14" t="str">
        <x:v>E</x:v>
      </x:c>
      <x:c r="I219" s="73" t="n">
        <x:v>587</x:v>
      </x:c>
    </x:row>
    <x:row r="220">
      <x:c r="A220" s="14" t="str">
        <x:v>APP-0002336</x:v>
      </x:c>
      <x:c r="B220" s="67" t="n">
        <x:v>0.028110621638488646</x:v>
      </x:c>
      <x:c r="C220" s="70" t="n">
        <x:v>61464.34</x:v>
      </x:c>
      <x:c r="D220" s="73" t="n">
        <x:v>0</x:v>
      </x:c>
      <x:c r="E220" s="77" t="str">
        <x:f>IF(B220&lt;Assumptions!$B$6,"APPROVE_RECOMMENDATION",IF(B220&lt;Assumptions!$B$7,"REFER","DECLINE_RECOMMENDATION"))</x:f>
        <x:v>APPROVE_RECOMMENDATION</x:v>
      </x:c>
      <x:c r="F220" s="77" t="str">
        <x:f>IF(E220="APPROVE_RECOMMENDATION","NO","YES")</x:f>
        <x:v>NO</x:v>
      </x:c>
      <x:c r="G220" s="78" t="n">
        <x:f>B220*Assumptions!$B$8*C220</x:f>
        <x:v>777.5103626997404</x:v>
      </x:c>
      <x:c r="H220" s="14" t="str">
        <x:v>A</x:v>
      </x:c>
      <x:c r="I220" s="73" t="n">
        <x:v>747</x:v>
      </x:c>
    </x:row>
    <x:row r="221">
      <x:c r="A221" s="14" t="str">
        <x:v>APP-0003802</x:v>
      </x:c>
      <x:c r="B221" s="67" t="n">
        <x:v>0.2231329640149947</x:v>
      </x:c>
      <x:c r="C221" s="70" t="n">
        <x:v>35930.7</x:v>
      </x:c>
      <x:c r="D221" s="73" t="n">
        <x:v>0</x:v>
      </x:c>
      <x:c r="E221" s="77" t="str">
        <x:f>IF(B221&lt;Assumptions!$B$6,"APPROVE_RECOMMENDATION",IF(B221&lt;Assumptions!$B$7,"REFER","DECLINE_RECOMMENDATION"))</x:f>
        <x:v>DECLINE_RECOMMENDATION</x:v>
      </x:c>
      <x:c r="F221" s="77" t="str">
        <x:f>IF(E221="APPROVE_RECOMMENDATION","NO","YES")</x:f>
        <x:v>YES</x:v>
      </x:c>
      <x:c r="G221" s="78" t="n">
        <x:f>B221*Assumptions!$B$8*C221</x:f>
        <x:v>3607.7956155601064</x:v>
      </x:c>
      <x:c r="H221" s="14" t="str">
        <x:v>F</x:v>
      </x:c>
      <x:c r="I221" s="73" t="n">
        <x:v>581</x:v>
      </x:c>
    </x:row>
    <x:row r="222">
      <x:c r="A222" s="14" t="str">
        <x:v>APP-0006896</x:v>
      </x:c>
      <x:c r="B222" s="67" t="n">
        <x:v>0.1199469456111802</x:v>
      </x:c>
      <x:c r="C222" s="70" t="n">
        <x:v>35046.57</x:v>
      </x:c>
      <x:c r="D222" s="73" t="n">
        <x:v>1</x:v>
      </x:c>
      <x:c r="E222" s="77" t="str">
        <x:f>IF(B222&lt;Assumptions!$B$6,"APPROVE_RECOMMENDATION",IF(B222&lt;Assumptions!$B$7,"REFER","DECLINE_RECOMMENDATION"))</x:f>
        <x:v>REFER</x:v>
      </x:c>
      <x:c r="F222" s="77" t="str">
        <x:f>IF(E222="APPROVE_RECOMMENDATION","NO","YES")</x:f>
        <x:v>YES</x:v>
      </x:c>
      <x:c r="G222" s="78" t="n">
        <x:f>B222*Assumptions!$B$8*C222</x:f>
        <x:v>1891.678061541789</x:v>
      </x:c>
      <x:c r="H222" s="14" t="str">
        <x:v>D</x:v>
      </x:c>
      <x:c r="I222" s="73" t="n">
        <x:v>635</x:v>
      </x:c>
    </x:row>
    <x:row r="223">
      <x:c r="A223" s="14" t="str">
        <x:v>APP-0013453</x:v>
      </x:c>
      <x:c r="B223" s="67" t="n">
        <x:v>0.09033249502897633</x:v>
      </x:c>
      <x:c r="C223" s="70" t="n">
        <x:v>49221.92</x:v>
      </x:c>
      <x:c r="D223" s="73" t="n">
        <x:v>0</x:v>
      </x:c>
      <x:c r="E223" s="77" t="str">
        <x:f>IF(B223&lt;Assumptions!$B$6,"APPROVE_RECOMMENDATION",IF(B223&lt;Assumptions!$B$7,"REFER","DECLINE_RECOMMENDATION"))</x:f>
        <x:v>APPROVE_RECOMMENDATION</x:v>
      </x:c>
      <x:c r="F223" s="77" t="str">
        <x:f>IF(E223="APPROVE_RECOMMENDATION","NO","YES")</x:f>
        <x:v>NO</x:v>
      </x:c>
      <x:c r="G223" s="78" t="n">
        <x:f>B223*Assumptions!$B$8*C223</x:f>
        <x:v>2000.8524796725019</x:v>
      </x:c>
      <x:c r="H223" s="14" t="str">
        <x:v>C</x:v>
      </x:c>
      <x:c r="I223" s="73" t="n">
        <x:v>658</x:v>
      </x:c>
    </x:row>
    <x:row r="224">
      <x:c r="A224" s="14" t="str">
        <x:v>APP-0013627</x:v>
      </x:c>
      <x:c r="B224" s="67" t="n">
        <x:v>0.1985969964704829</x:v>
      </x:c>
      <x:c r="C224" s="70" t="n">
        <x:v>35324</x:v>
      </x:c>
      <x:c r="D224" s="73" t="n">
        <x:v>1</x:v>
      </x:c>
      <x:c r="E224" s="77" t="str">
        <x:f>IF(B224&lt;Assumptions!$B$6,"APPROVE_RECOMMENDATION",IF(B224&lt;Assumptions!$B$7,"REFER","DECLINE_RECOMMENDATION"))</x:f>
        <x:v>REFER</x:v>
      </x:c>
      <x:c r="F224" s="77" t="str">
        <x:f>IF(E224="APPROVE_RECOMMENDATION","NO","YES")</x:f>
        <x:v>YES</x:v>
      </x:c>
      <x:c r="G224" s="78" t="n">
        <x:f>B224*Assumptions!$B$8*C224</x:f>
        <x:v>3156.858136495502</x:v>
      </x:c>
      <x:c r="H224" s="14" t="str">
        <x:v>E</x:v>
      </x:c>
      <x:c r="I224" s="73" t="n">
        <x:v>592</x:v>
      </x:c>
    </x:row>
    <x:row r="225">
      <x:c r="A225" s="14" t="str">
        <x:v>APP-0014068</x:v>
      </x:c>
      <x:c r="B225" s="67" t="n">
        <x:v>0.1475751313148128</x:v>
      </x:c>
      <x:c r="C225" s="70" t="n">
        <x:v>29077.39</x:v>
      </x:c>
      <x:c r="D225" s="73" t="n">
        <x:v>0</x:v>
      </x:c>
      <x:c r="E225" s="77" t="str">
        <x:f>IF(B225&lt;Assumptions!$B$6,"APPROVE_RECOMMENDATION",IF(B225&lt;Assumptions!$B$7,"REFER","DECLINE_RECOMMENDATION"))</x:f>
        <x:v>REFER</x:v>
      </x:c>
      <x:c r="F225" s="77" t="str">
        <x:f>IF(E225="APPROVE_RECOMMENDATION","NO","YES")</x:f>
        <x:v>YES</x:v>
      </x:c>
      <x:c r="G225" s="78" t="n">
        <x:f>B225*Assumptions!$B$8*C225</x:f>
        <x:v>1930.9948413939114</x:v>
      </x:c>
      <x:c r="H225" s="14" t="str">
        <x:v>D</x:v>
      </x:c>
      <x:c r="I225" s="73" t="n">
        <x:v>618</x:v>
      </x:c>
    </x:row>
    <x:row r="226">
      <x:c r="A226" s="14" t="str">
        <x:v>APP-0016268</x:v>
      </x:c>
      <x:c r="B226" s="67" t="n">
        <x:v>0.04235314012314205</x:v>
      </x:c>
      <x:c r="C226" s="70" t="n">
        <x:v>13865.73</x:v>
      </x:c>
      <x:c r="D226" s="73" t="n">
        <x:v>0</x:v>
      </x:c>
      <x:c r="E226" s="77" t="str">
        <x:f>IF(B226&lt;Assumptions!$B$6,"APPROVE_RECOMMENDATION",IF(B226&lt;Assumptions!$B$7,"REFER","DECLINE_RECOMMENDATION"))</x:f>
        <x:v>APPROVE_RECOMMENDATION</x:v>
      </x:c>
      <x:c r="F226" s="77" t="str">
        <x:f>IF(E226="APPROVE_RECOMMENDATION","NO","YES")</x:f>
        <x:v>NO</x:v>
      </x:c>
      <x:c r="G226" s="78" t="n">
        <x:f>B226*Assumptions!$B$8*C226</x:f>
        <x:v>264.2657425198445</x:v>
      </x:c>
      <x:c r="H226" s="14" t="str">
        <x:v>B</x:v>
      </x:c>
      <x:c r="I226" s="73" t="n">
        <x:v>716</x:v>
      </x:c>
    </x:row>
    <x:row r="227">
      <x:c r="A227" s="14" t="str">
        <x:v>APP-0016842</x:v>
      </x:c>
      <x:c r="B227" s="67" t="n">
        <x:v>0.13341324123685183</x:v>
      </x:c>
      <x:c r="C227" s="70" t="n">
        <x:v>108500.64</x:v>
      </x:c>
      <x:c r="D227" s="73" t="n">
        <x:v>0</x:v>
      </x:c>
      <x:c r="E227" s="77" t="str">
        <x:f>IF(B227&lt;Assumptions!$B$6,"APPROVE_RECOMMENDATION",IF(B227&lt;Assumptions!$B$7,"REFER","DECLINE_RECOMMENDATION"))</x:f>
        <x:v>REFER</x:v>
      </x:c>
      <x:c r="F227" s="77" t="str">
        <x:f>IF(E227="APPROVE_RECOMMENDATION","NO","YES")</x:f>
        <x:v>YES</x:v>
      </x:c>
      <x:c r="G227" s="78" t="n">
        <x:f>B227*Assumptions!$B$8*C227</x:f>
        <x:v>6513.939926402767</x:v>
      </x:c>
      <x:c r="H227" s="14" t="str">
        <x:v>D</x:v>
      </x:c>
      <x:c r="I227" s="73" t="n">
        <x:v>626</x:v>
      </x:c>
    </x:row>
    <x:row r="228">
      <x:c r="A228" s="14" t="str">
        <x:v>APP-0018104</x:v>
      </x:c>
      <x:c r="B228" s="67" t="n">
        <x:v>0.07762068286718168</x:v>
      </x:c>
      <x:c r="C228" s="70" t="n">
        <x:v>22714</x:v>
      </x:c>
      <x:c r="D228" s="73" t="n">
        <x:v>0</x:v>
      </x:c>
      <x:c r="E228" s="77" t="str">
        <x:f>IF(B228&lt;Assumptions!$B$6,"APPROVE_RECOMMENDATION",IF(B228&lt;Assumptions!$B$7,"REFER","DECLINE_RECOMMENDATION"))</x:f>
        <x:v>APPROVE_RECOMMENDATION</x:v>
      </x:c>
      <x:c r="F228" s="77" t="str">
        <x:f>IF(E228="APPROVE_RECOMMENDATION","NO","YES")</x:f>
        <x:v>NO</x:v>
      </x:c>
      <x:c r="G228" s="78" t="n">
        <x:f>B228*Assumptions!$B$8*C228</x:f>
        <x:v>793.3842857903243</x:v>
      </x:c>
      <x:c r="H228" s="14" t="str">
        <x:v>C</x:v>
      </x:c>
      <x:c r="I228" s="73" t="n">
        <x:v>670</x:v>
      </x:c>
    </x:row>
    <x:row r="229">
      <x:c r="A229" s="14" t="str">
        <x:v>APP-0019269</x:v>
      </x:c>
      <x:c r="B229" s="67" t="n">
        <x:v>0.09090937116004207</x:v>
      </x:c>
      <x:c r="C229" s="70" t="n">
        <x:v>31883.26</x:v>
      </x:c>
      <x:c r="D229" s="73" t="n">
        <x:v>1</x:v>
      </x:c>
      <x:c r="E229" s="77" t="str">
        <x:f>IF(B229&lt;Assumptions!$B$6,"APPROVE_RECOMMENDATION",IF(B229&lt;Assumptions!$B$7,"REFER","DECLINE_RECOMMENDATION"))</x:f>
        <x:v>APPROVE_RECOMMENDATION</x:v>
      </x:c>
      <x:c r="F229" s="77" t="str">
        <x:f>IF(E229="APPROVE_RECOMMENDATION","NO","YES")</x:f>
        <x:v>NO</x:v>
      </x:c>
      <x:c r="G229" s="78" t="n">
        <x:f>B229*Assumptions!$B$8*C229</x:f>
        <x:v>1304.3192027094553</x:v>
      </x:c>
      <x:c r="H229" s="14" t="str">
        <x:v>C</x:v>
      </x:c>
      <x:c r="I229" s="73" t="n">
        <x:v>658</x:v>
      </x:c>
    </x:row>
    <x:row r="230">
      <x:c r="A230" s="14" t="str">
        <x:v>APP-0019671</x:v>
      </x:c>
      <x:c r="B230" s="67" t="n">
        <x:v>0.18714467157253253</x:v>
      </x:c>
      <x:c r="C230" s="70" t="n">
        <x:v>112031.12</x:v>
      </x:c>
      <x:c r="D230" s="73" t="n">
        <x:v>0</x:v>
      </x:c>
      <x:c r="E230" s="77" t="str">
        <x:f>IF(B230&lt;Assumptions!$B$6,"APPROVE_RECOMMENDATION",IF(B230&lt;Assumptions!$B$7,"REFER","DECLINE_RECOMMENDATION"))</x:f>
        <x:v>REFER</x:v>
      </x:c>
      <x:c r="F230" s="77" t="str">
        <x:f>IF(E230="APPROVE_RECOMMENDATION","NO","YES")</x:f>
        <x:v>YES</x:v>
      </x:c>
      <x:c r="G230" s="78" t="n">
        <x:f>B230*Assumptions!$B$8*C230</x:f>
        <x:v>9434.712221236341</x:v>
      </x:c>
      <x:c r="H230" s="14" t="str">
        <x:v>E</x:v>
      </x:c>
      <x:c r="I230" s="73" t="n">
        <x:v>597</x:v>
      </x:c>
    </x:row>
    <x:row r="231">
      <x:c r="A231" s="14" t="str">
        <x:v>APP-0021521</x:v>
      </x:c>
      <x:c r="B231" s="67" t="n">
        <x:v>0.05225733590293257</x:v>
      </x:c>
      <x:c r="C231" s="70" t="n">
        <x:v>65317.82</x:v>
      </x:c>
      <x:c r="D231" s="73" t="n">
        <x:v>0</x:v>
      </x:c>
      <x:c r="E231" s="77" t="str">
        <x:f>IF(B231&lt;Assumptions!$B$6,"APPROVE_RECOMMENDATION",IF(B231&lt;Assumptions!$B$7,"REFER","DECLINE_RECOMMENDATION"))</x:f>
        <x:v>APPROVE_RECOMMENDATION</x:v>
      </x:c>
      <x:c r="F231" s="77" t="str">
        <x:f>IF(E231="APPROVE_RECOMMENDATION","NO","YES")</x:f>
        <x:v>NO</x:v>
      </x:c>
      <x:c r="G231" s="78" t="n">
        <x:f>B231*Assumptions!$B$8*C231</x:f>
        <x:v>1536.0008670842792</x:v>
      </x:c>
      <x:c r="H231" s="14" t="str">
        <x:v>B</x:v>
      </x:c>
      <x:c r="I231" s="73" t="n">
        <x:v>701</x:v>
      </x:c>
    </x:row>
    <x:row r="232">
      <x:c r="A232" s="14" t="str">
        <x:v>APP-0023946</x:v>
      </x:c>
      <x:c r="B232" s="67" t="n">
        <x:v>0.12277551815227027</x:v>
      </x:c>
      <x:c r="C232" s="70" t="n">
        <x:v>87344.57</x:v>
      </x:c>
      <x:c r="D232" s="73" t="n">
        <x:v>0</x:v>
      </x:c>
      <x:c r="E232" s="77" t="str">
        <x:f>IF(B232&lt;Assumptions!$B$6,"APPROVE_RECOMMENDATION",IF(B232&lt;Assumptions!$B$7,"REFER","DECLINE_RECOMMENDATION"))</x:f>
        <x:v>REFER</x:v>
      </x:c>
      <x:c r="F232" s="77" t="str">
        <x:f>IF(E232="APPROVE_RECOMMENDATION","NO","YES")</x:f>
        <x:v>YES</x:v>
      </x:c>
      <x:c r="G232" s="78" t="n">
        <x:f>B232*Assumptions!$B$8*C232</x:f>
        <x:v>4825.698677791759</x:v>
      </x:c>
      <x:c r="H232" s="14" t="str">
        <x:v>D</x:v>
      </x:c>
      <x:c r="I232" s="73" t="n">
        <x:v>633</x:v>
      </x:c>
    </x:row>
    <x:row r="233">
      <x:c r="A233" s="14" t="str">
        <x:v>APP-0024166</x:v>
      </x:c>
      <x:c r="B233" s="67" t="n">
        <x:v>0.1849569250327839</x:v>
      </x:c>
      <x:c r="C233" s="70" t="n">
        <x:v>16892.63</x:v>
      </x:c>
      <x:c r="D233" s="73" t="n">
        <x:v>0</x:v>
      </x:c>
      <x:c r="E233" s="77" t="str">
        <x:f>IF(B233&lt;Assumptions!$B$6,"APPROVE_RECOMMENDATION",IF(B233&lt;Assumptions!$B$7,"REFER","DECLINE_RECOMMENDATION"))</x:f>
        <x:v>REFER</x:v>
      </x:c>
      <x:c r="F233" s="77" t="str">
        <x:f>IF(E233="APPROVE_RECOMMENDATION","NO","YES")</x:f>
        <x:v>YES</x:v>
      </x:c>
      <x:c r="G233" s="78" t="n">
        <x:f>B233*Assumptions!$B$8*C233</x:f>
        <x:v>1405.9840052324505</x:v>
      </x:c>
      <x:c r="H233" s="14" t="str">
        <x:v>E</x:v>
      </x:c>
      <x:c r="I233" s="73" t="n">
        <x:v>598</x:v>
      </x:c>
    </x:row>
    <x:row r="234">
      <x:c r="A234" s="14" t="str">
        <x:v>APP-0025283</x:v>
      </x:c>
      <x:c r="B234" s="67" t="n">
        <x:v>0.03464791530755514</x:v>
      </x:c>
      <x:c r="C234" s="70" t="n">
        <x:v>11159.93</x:v>
      </x:c>
      <x:c r="D234" s="73" t="n">
        <x:v>0</x:v>
      </x:c>
      <x:c r="E234" s="77" t="str">
        <x:f>IF(B234&lt;Assumptions!$B$6,"APPROVE_RECOMMENDATION",IF(B234&lt;Assumptions!$B$7,"REFER","DECLINE_RECOMMENDATION"))</x:f>
        <x:v>APPROVE_RECOMMENDATION</x:v>
      </x:c>
      <x:c r="F234" s="77" t="str">
        <x:f>IF(E234="APPROVE_RECOMMENDATION","NO","YES")</x:f>
        <x:v>NO</x:v>
      </x:c>
      <x:c r="G234" s="78" t="n">
        <x:f>B234*Assumptions!$B$8*C234</x:f>
        <x:v>174.00073926520975</x:v>
      </x:c>
      <x:c r="H234" s="14" t="str">
        <x:v>B</x:v>
      </x:c>
      <x:c r="I234" s="73" t="n">
        <x:v>732</x:v>
      </x:c>
    </x:row>
    <x:row r="235">
      <x:c r="A235" s="14" t="str">
        <x:v>APP-0029006</x:v>
      </x:c>
      <x:c r="B235" s="67" t="n">
        <x:v>0.1605225643309586</x:v>
      </x:c>
      <x:c r="C235" s="70" t="n">
        <x:v>17192.84</x:v>
      </x:c>
      <x:c r="D235" s="73" t="n">
        <x:v>0</x:v>
      </x:c>
      <x:c r="E235" s="77" t="str">
        <x:f>IF(B235&lt;Assumptions!$B$6,"APPROVE_RECOMMENDATION",IF(B235&lt;Assumptions!$B$7,"REFER","DECLINE_RECOMMENDATION"))</x:f>
        <x:v>REFER</x:v>
      </x:c>
      <x:c r="F235" s="77" t="str">
        <x:f>IF(E235="APPROVE_RECOMMENDATION","NO","YES")</x:f>
        <x:v>YES</x:v>
      </x:c>
      <x:c r="G235" s="78" t="n">
        <x:f>B235*Assumptions!$B$8*C235</x:f>
        <x:v>1241.9274442193453</x:v>
      </x:c>
      <x:c r="H235" s="14" t="str">
        <x:v>E</x:v>
      </x:c>
      <x:c r="I235" s="73" t="n">
        <x:v>611</x:v>
      </x:c>
    </x:row>
    <x:row r="236">
      <x:c r="A236" s="14" t="str">
        <x:v>APP-0029353</x:v>
      </x:c>
      <x:c r="B236" s="67" t="n">
        <x:v>0.1703717583563995</x:v>
      </x:c>
      <x:c r="C236" s="70" t="n">
        <x:v>15326.94</x:v>
      </x:c>
      <x:c r="D236" s="73" t="n">
        <x:v>0</x:v>
      </x:c>
      <x:c r="E236" s="77" t="str">
        <x:f>IF(B236&lt;Assumptions!$B$6,"APPROVE_RECOMMENDATION",IF(B236&lt;Assumptions!$B$7,"REFER","DECLINE_RECOMMENDATION"))</x:f>
        <x:v>REFER</x:v>
      </x:c>
      <x:c r="F236" s="77" t="str">
        <x:f>IF(E236="APPROVE_RECOMMENDATION","NO","YES")</x:f>
        <x:v>YES</x:v>
      </x:c>
      <x:c r="G236" s="78" t="n">
        <x:f>B236*Assumptions!$B$8*C236</x:f>
        <x:v>1175.0749731103654</x:v>
      </x:c>
      <x:c r="H236" s="14" t="str">
        <x:v>E</x:v>
      </x:c>
      <x:c r="I236" s="73" t="n">
        <x:v>606</x:v>
      </x:c>
    </x:row>
    <x:row r="237">
      <x:c r="A237" s="14" t="str">
        <x:v>APP-0040109</x:v>
      </x:c>
      <x:c r="B237" s="67" t="n">
        <x:v>0.14176122281084683</x:v>
      </x:c>
      <x:c r="C237" s="70" t="n">
        <x:v>73772.55</x:v>
      </x:c>
      <x:c r="D237" s="73" t="n">
        <x:v>0</x:v>
      </x:c>
      <x:c r="E237" s="77" t="str">
        <x:f>IF(B237&lt;Assumptions!$B$6,"APPROVE_RECOMMENDATION",IF(B237&lt;Assumptions!$B$7,"REFER","DECLINE_RECOMMENDATION"))</x:f>
        <x:v>REFER</x:v>
      </x:c>
      <x:c r="F237" s="77" t="str">
        <x:f>IF(E237="APPROVE_RECOMMENDATION","NO","YES")</x:f>
        <x:v>YES</x:v>
      </x:c>
      <x:c r="G237" s="78" t="n">
        <x:f>B237*Assumptions!$B$8*C237</x:f>
        <x:v>4706.139104043453</x:v>
      </x:c>
      <x:c r="H237" s="14" t="str">
        <x:v>D</x:v>
      </x:c>
      <x:c r="I237" s="73" t="n">
        <x:v>621</x:v>
      </x:c>
    </x:row>
    <x:row r="238">
      <x:c r="A238" s="14" t="str">
        <x:v>APP-0041464</x:v>
      </x:c>
      <x:c r="B238" s="67" t="n">
        <x:v>0.23600509985361984</x:v>
      </x:c>
      <x:c r="C238" s="70" t="n">
        <x:v>264954.98</x:v>
      </x:c>
      <x:c r="D238" s="73" t="n">
        <x:v>0</x:v>
      </x:c>
      <x:c r="E238" s="77" t="str">
        <x:f>IF(B238&lt;Assumptions!$B$6,"APPROVE_RECOMMENDATION",IF(B238&lt;Assumptions!$B$7,"REFER","DECLINE_RECOMMENDATION"))</x:f>
        <x:v>DECLINE_RECOMMENDATION</x:v>
      </x:c>
      <x:c r="F238" s="77" t="str">
        <x:f>IF(E238="APPROVE_RECOMMENDATION","NO","YES")</x:f>
        <x:v>YES</x:v>
      </x:c>
      <x:c r="G238" s="78" t="n">
        <x:f>B238*Assumptions!$B$8*C238</x:f>
        <x:v>28138.82693022623</x:v>
      </x:c>
      <x:c r="H238" s="14" t="str">
        <x:v>F</x:v>
      </x:c>
      <x:c r="I238" s="73" t="n">
        <x:v>576</x:v>
      </x:c>
    </x:row>
    <x:row r="239">
      <x:c r="A239" s="14" t="str">
        <x:v>APP-0041974</x:v>
      </x:c>
      <x:c r="B239" s="67" t="n">
        <x:v>0.1490013977844904</x:v>
      </x:c>
      <x:c r="C239" s="70" t="n">
        <x:v>62466.42</x:v>
      </x:c>
      <x:c r="D239" s="73" t="n">
        <x:v>0</x:v>
      </x:c>
      <x:c r="E239" s="77" t="str">
        <x:f>IF(B239&lt;Assumptions!$B$6,"APPROVE_RECOMMENDATION",IF(B239&lt;Assumptions!$B$7,"REFER","DECLINE_RECOMMENDATION"))</x:f>
        <x:v>REFER</x:v>
      </x:c>
      <x:c r="F239" s="77" t="str">
        <x:f>IF(E239="APPROVE_RECOMMENDATION","NO","YES")</x:f>
        <x:v>YES</x:v>
      </x:c>
      <x:c r="G239" s="78" t="n">
        <x:f>B239*Assumptions!$B$8*C239</x:f>
        <x:v>4188.412752566871</x:v>
      </x:c>
      <x:c r="H239" s="14" t="str">
        <x:v>D</x:v>
      </x:c>
      <x:c r="I239" s="73" t="n">
        <x:v>617</x:v>
      </x:c>
    </x:row>
    <x:row r="240">
      <x:c r="A240" s="14" t="str">
        <x:v>APP-0044072</x:v>
      </x:c>
      <x:c r="B240" s="67" t="n">
        <x:v>0.053071958762033376</x:v>
      </x:c>
      <x:c r="C240" s="70" t="n">
        <x:v>23820.06</x:v>
      </x:c>
      <x:c r="D240" s="73" t="n">
        <x:v>0</x:v>
      </x:c>
      <x:c r="E240" s="77" t="str">
        <x:f>IF(B240&lt;Assumptions!$B$6,"APPROVE_RECOMMENDATION",IF(B240&lt;Assumptions!$B$7,"REFER","DECLINE_RECOMMENDATION"))</x:f>
        <x:v>APPROVE_RECOMMENDATION</x:v>
      </x:c>
      <x:c r="F240" s="77" t="str">
        <x:f>IF(E240="APPROVE_RECOMMENDATION","NO","YES")</x:f>
        <x:v>NO</x:v>
      </x:c>
      <x:c r="G240" s="78" t="n">
        <x:f>B240*Assumptions!$B$8*C240</x:f>
        <x:v>568.8797589131224</x:v>
      </x:c>
      <x:c r="H240" s="14" t="str">
        <x:v>B</x:v>
      </x:c>
      <x:c r="I240" s="73" t="n">
        <x:v>699</x:v>
      </x:c>
    </x:row>
    <x:row r="241">
      <x:c r="A241" s="14" t="str">
        <x:v>APP-0044667</x:v>
      </x:c>
      <x:c r="B241" s="67" t="n">
        <x:v>0.02091686251427935</x:v>
      </x:c>
      <x:c r="C241" s="70" t="n">
        <x:v>50665.21</x:v>
      </x:c>
      <x:c r="D241" s="73" t="n">
        <x:v>0</x:v>
      </x:c>
      <x:c r="E241" s="77" t="str">
        <x:f>IF(B241&lt;Assumptions!$B$6,"APPROVE_RECOMMENDATION",IF(B241&lt;Assumptions!$B$7,"REFER","DECLINE_RECOMMENDATION"))</x:f>
        <x:v>APPROVE_RECOMMENDATION</x:v>
      </x:c>
      <x:c r="F241" s="77" t="str">
        <x:f>IF(E241="APPROVE_RECOMMENDATION","NO","YES")</x:f>
        <x:v>NO</x:v>
      </x:c>
      <x:c r="G241" s="78" t="n">
        <x:f>B241*Assumptions!$B$8*C241</x:f>
        <x:v>476.8907543221911</x:v>
      </x:c>
      <x:c r="H241" s="14" t="str">
        <x:v>A</x:v>
      </x:c>
      <x:c r="I241" s="73" t="n">
        <x:v>769</x:v>
      </x:c>
    </x:row>
    <x:row r="242">
      <x:c r="A242" s="14" t="str">
        <x:v>APP-0044736</x:v>
      </x:c>
      <x:c r="B242" s="67" t="n">
        <x:v>0.1008642913125211</x:v>
      </x:c>
      <x:c r="C242" s="70" t="n">
        <x:v>25092.69</x:v>
      </x:c>
      <x:c r="D242" s="73" t="n">
        <x:v>0</x:v>
      </x:c>
      <x:c r="E242" s="77" t="str">
        <x:f>IF(B242&lt;Assumptions!$B$6,"APPROVE_RECOMMENDATION",IF(B242&lt;Assumptions!$B$7,"REFER","DECLINE_RECOMMENDATION"))</x:f>
        <x:v>REFER</x:v>
      </x:c>
      <x:c r="F242" s="77" t="str">
        <x:f>IF(E242="APPROVE_RECOMMENDATION","NO","YES")</x:f>
        <x:v>YES</x:v>
      </x:c>
      <x:c r="G242" s="78" t="n">
        <x:f>B242*Assumptions!$B$8*C242</x:f>
        <x:v>1138.9303772886533</x:v>
      </x:c>
      <x:c r="H242" s="14" t="str">
        <x:v>D</x:v>
      </x:c>
      <x:c r="I242" s="73" t="n">
        <x:v>649</x:v>
      </x:c>
    </x:row>
    <x:row r="243">
      <x:c r="A243" s="14" t="str">
        <x:v>APP-0046858</x:v>
      </x:c>
      <x:c r="B243" s="67" t="n">
        <x:v>0.09269834593581361</x:v>
      </x:c>
      <x:c r="C243" s="70" t="n">
        <x:v>173761.28</x:v>
      </x:c>
      <x:c r="D243" s="73" t="n">
        <x:v>0</x:v>
      </x:c>
      <x:c r="E243" s="77" t="str">
        <x:f>IF(B243&lt;Assumptions!$B$6,"APPROVE_RECOMMENDATION",IF(B243&lt;Assumptions!$B$7,"REFER","DECLINE_RECOMMENDATION"))</x:f>
        <x:v>APPROVE_RECOMMENDATION</x:v>
      </x:c>
      <x:c r="F243" s="77" t="str">
        <x:f>IF(E243="APPROVE_RECOMMENDATION","NO","YES")</x:f>
        <x:v>NO</x:v>
      </x:c>
      <x:c r="G243" s="78" t="n">
        <x:f>B243*Assumptions!$B$8*C243</x:f>
        <x:v>7248.322459660397</x:v>
      </x:c>
      <x:c r="H243" s="14" t="str">
        <x:v>C</x:v>
      </x:c>
      <x:c r="I243" s="73" t="n">
        <x:v>656</x:v>
      </x:c>
    </x:row>
    <x:row r="244">
      <x:c r="A244" s="14" t="str">
        <x:v>APP-0004707</x:v>
      </x:c>
      <x:c r="B244" s="67" t="n">
        <x:v>0.2255112488179831</x:v>
      </x:c>
      <x:c r="C244" s="70" t="n">
        <x:v>95067.94</x:v>
      </x:c>
      <x:c r="D244" s="73" t="n">
        <x:v>0</x:v>
      </x:c>
      <x:c r="E244" s="77" t="str">
        <x:f>IF(B244&lt;Assumptions!$B$6,"APPROVE_RECOMMENDATION",IF(B244&lt;Assumptions!$B$7,"REFER","DECLINE_RECOMMENDATION"))</x:f>
        <x:v>DECLINE_RECOMMENDATION</x:v>
      </x:c>
      <x:c r="F244" s="77" t="str">
        <x:f>IF(E244="APPROVE_RECOMMENDATION","NO","YES")</x:f>
        <x:v>YES</x:v>
      </x:c>
      <x:c r="G244" s="78" t="n">
        <x:f>B244*Assumptions!$B$8*C244</x:f>
        <x:v>9647.50044237889</x:v>
      </x:c>
      <x:c r="H244" s="14" t="str">
        <x:v>F</x:v>
      </x:c>
      <x:c r="I244" s="73" t="n">
        <x:v>581</x:v>
      </x:c>
    </x:row>
    <x:row r="245">
      <x:c r="A245" s="14" t="str">
        <x:v>APP-0005839</x:v>
      </x:c>
      <x:c r="B245" s="67" t="n">
        <x:v>0.09964514608000424</x:v>
      </x:c>
      <x:c r="C245" s="70" t="n">
        <x:v>25134.89</x:v>
      </x:c>
      <x:c r="D245" s="73" t="n">
        <x:v>0</x:v>
      </x:c>
      <x:c r="E245" s="77" t="str">
        <x:f>IF(B245&lt;Assumptions!$B$6,"APPROVE_RECOMMENDATION",IF(B245&lt;Assumptions!$B$7,"REFER","DECLINE_RECOMMENDATION"))</x:f>
        <x:v>APPROVE_RECOMMENDATION</x:v>
      </x:c>
      <x:c r="F245" s="77" t="str">
        <x:f>IF(E245="APPROVE_RECOMMENDATION","NO","YES")</x:f>
        <x:v>NO</x:v>
      </x:c>
      <x:c r="G245" s="78" t="n">
        <x:f>B245*Assumptions!$B$8*C245</x:f>
        <x:v>1127.056403589677</x:v>
      </x:c>
      <x:c r="H245" s="14" t="str">
        <x:v>C</x:v>
      </x:c>
      <x:c r="I245" s="73" t="n">
        <x:v>650</x:v>
      </x:c>
    </x:row>
    <x:row r="246">
      <x:c r="A246" s="14" t="str">
        <x:v>APP-0006961</x:v>
      </x:c>
      <x:c r="B246" s="67" t="n">
        <x:v>0.16336819010645068</x:v>
      </x:c>
      <x:c r="C246" s="70" t="n">
        <x:v>36718.84</x:v>
      </x:c>
      <x:c r="D246" s="73" t="n">
        <x:v>1</x:v>
      </x:c>
      <x:c r="E246" s="77" t="str">
        <x:f>IF(B246&lt;Assumptions!$B$6,"APPROVE_RECOMMENDATION",IF(B246&lt;Assumptions!$B$7,"REFER","DECLINE_RECOMMENDATION"))</x:f>
        <x:v>REFER</x:v>
      </x:c>
      <x:c r="F246" s="77" t="str">
        <x:f>IF(E246="APPROVE_RECOMMENDATION","NO","YES")</x:f>
        <x:v>YES</x:v>
      </x:c>
      <x:c r="G246" s="78" t="n">
        <x:f>B246*Assumptions!$B$8*C246</x:f>
        <x:v>2699.410695123755</x:v>
      </x:c>
      <x:c r="H246" s="14" t="str">
        <x:v>E</x:v>
      </x:c>
      <x:c r="I246" s="73" t="n">
        <x:v>609</x:v>
      </x:c>
    </x:row>
    <x:row r="247">
      <x:c r="A247" s="14" t="str">
        <x:v>APP-0007301</x:v>
      </x:c>
      <x:c r="B247" s="67" t="n">
        <x:v>0.07382772856448913</x:v>
      </x:c>
      <x:c r="C247" s="70" t="n">
        <x:v>50501.25</x:v>
      </x:c>
      <x:c r="D247" s="73" t="n">
        <x:v>0</x:v>
      </x:c>
      <x:c r="E247" s="77" t="str">
        <x:f>IF(B247&lt;Assumptions!$B$6,"APPROVE_RECOMMENDATION",IF(B247&lt;Assumptions!$B$7,"REFER","DECLINE_RECOMMENDATION"))</x:f>
        <x:v>APPROVE_RECOMMENDATION</x:v>
      </x:c>
      <x:c r="F247" s="77" t="str">
        <x:f>IF(E247="APPROVE_RECOMMENDATION","NO","YES")</x:f>
        <x:v>NO</x:v>
      </x:c>
      <x:c r="G247" s="78" t="n">
        <x:f>B247*Assumptions!$B$8*C247</x:f>
        <x:v>1677.7766597253333</x:v>
      </x:c>
      <x:c r="H247" s="14" t="str">
        <x:v>C</x:v>
      </x:c>
      <x:c r="I247" s="73" t="n">
        <x:v>674</x:v>
      </x:c>
    </x:row>
    <x:row r="248">
      <x:c r="A248" s="14" t="str">
        <x:v>APP-0008851</x:v>
      </x:c>
      <x:c r="B248" s="67" t="n">
        <x:v>0.053665215184829466</x:v>
      </x:c>
      <x:c r="C248" s="70" t="n">
        <x:v>74157.03</x:v>
      </x:c>
      <x:c r="D248" s="73" t="n">
        <x:v>0</x:v>
      </x:c>
      <x:c r="E248" s="77" t="str">
        <x:f>IF(B248&lt;Assumptions!$B$6,"APPROVE_RECOMMENDATION",IF(B248&lt;Assumptions!$B$7,"REFER","DECLINE_RECOMMENDATION"))</x:f>
        <x:v>APPROVE_RECOMMENDATION</x:v>
      </x:c>
      <x:c r="F248" s="77" t="str">
        <x:f>IF(E248="APPROVE_RECOMMENDATION","NO","YES")</x:f>
        <x:v>NO</x:v>
      </x:c>
      <x:c r="G248" s="78" t="n">
        <x:f>B248*Assumptions!$B$8*C248</x:f>
        <x:v>1790.8438375880346</x:v>
      </x:c>
      <x:c r="H248" s="14" t="str">
        <x:v>B</x:v>
      </x:c>
      <x:c r="I248" s="73" t="n">
        <x:v>699</x:v>
      </x:c>
    </x:row>
    <x:row r="249">
      <x:c r="A249" s="14" t="str">
        <x:v>APP-0010989</x:v>
      </x:c>
      <x:c r="B249" s="67" t="n">
        <x:v>0.14256333263720597</x:v>
      </x:c>
      <x:c r="C249" s="70" t="n">
        <x:v>21297.16</x:v>
      </x:c>
      <x:c r="D249" s="73" t="n">
        <x:v>0</x:v>
      </x:c>
      <x:c r="E249" s="77" t="str">
        <x:f>IF(B249&lt;Assumptions!$B$6,"APPROVE_RECOMMENDATION",IF(B249&lt;Assumptions!$B$7,"REFER","DECLINE_RECOMMENDATION"))</x:f>
        <x:v>REFER</x:v>
      </x:c>
      <x:c r="F249" s="77" t="str">
        <x:f>IF(E249="APPROVE_RECOMMENDATION","NO","YES")</x:f>
        <x:v>YES</x:v>
      </x:c>
      <x:c r="G249" s="78" t="n">
        <x:f>B249*Assumptions!$B$8*C249</x:f>
        <x:v>1366.287347388509</x:v>
      </x:c>
      <x:c r="H249" s="14" t="str">
        <x:v>D</x:v>
      </x:c>
      <x:c r="I249" s="73" t="n">
        <x:v>621</x:v>
      </x:c>
    </x:row>
    <x:row r="250">
      <x:c r="A250" s="14" t="str">
        <x:v>APP-0011761</x:v>
      </x:c>
      <x:c r="B250" s="67" t="n">
        <x:v>0.1329506013486911</x:v>
      </x:c>
      <x:c r="C250" s="70" t="n">
        <x:v>48769.99</x:v>
      </x:c>
      <x:c r="D250" s="73" t="n">
        <x:v>1</x:v>
      </x:c>
      <x:c r="E250" s="77" t="str">
        <x:f>IF(B250&lt;Assumptions!$B$6,"APPROVE_RECOMMENDATION",IF(B250&lt;Assumptions!$B$7,"REFER","DECLINE_RECOMMENDATION"))</x:f>
        <x:v>REFER</x:v>
      </x:c>
      <x:c r="F250" s="77" t="str">
        <x:f>IF(E250="APPROVE_RECOMMENDATION","NO","YES")</x:f>
        <x:v>YES</x:v>
      </x:c>
      <x:c r="G250" s="78" t="n">
        <x:f>B250*Assumptions!$B$8*C250</x:f>
        <x:v>2917.799774221343</x:v>
      </x:c>
      <x:c r="H250" s="14" t="str">
        <x:v>D</x:v>
      </x:c>
      <x:c r="I250" s="73" t="n">
        <x:v>627</x:v>
      </x:c>
    </x:row>
    <x:row r="251">
      <x:c r="A251" s="14" t="str">
        <x:v>APP-0012217</x:v>
      </x:c>
      <x:c r="B251" s="67" t="n">
        <x:v>0.06949070498587473</x:v>
      </x:c>
      <x:c r="C251" s="70" t="n">
        <x:v>10000</x:v>
      </x:c>
      <x:c r="D251" s="73" t="n">
        <x:v>0</x:v>
      </x:c>
      <x:c r="E251" s="77" t="str">
        <x:f>IF(B251&lt;Assumptions!$B$6,"APPROVE_RECOMMENDATION",IF(B251&lt;Assumptions!$B$7,"REFER","DECLINE_RECOMMENDATION"))</x:f>
        <x:v>APPROVE_RECOMMENDATION</x:v>
      </x:c>
      <x:c r="F251" s="77" t="str">
        <x:f>IF(E251="APPROVE_RECOMMENDATION","NO","YES")</x:f>
        <x:v>NO</x:v>
      </x:c>
      <x:c r="G251" s="78" t="n">
        <x:f>B251*Assumptions!$B$8*C251</x:f>
        <x:v>312.7081724364363</x:v>
      </x:c>
      <x:c r="H251" s="14" t="str">
        <x:v>C</x:v>
      </x:c>
      <x:c r="I251" s="73" t="n">
        <x:v>679</x:v>
      </x:c>
    </x:row>
    <x:row r="252">
      <x:c r="A252" s="14" t="str">
        <x:v>APP-0013053</x:v>
      </x:c>
      <x:c r="B252" s="67" t="n">
        <x:v>0.15871379626072765</x:v>
      </x:c>
      <x:c r="C252" s="70" t="n">
        <x:v>97707.03</x:v>
      </x:c>
      <x:c r="D252" s="73" t="n">
        <x:v>0</x:v>
      </x:c>
      <x:c r="E252" s="77" t="str">
        <x:f>IF(B252&lt;Assumptions!$B$6,"APPROVE_RECOMMENDATION",IF(B252&lt;Assumptions!$B$7,"REFER","DECLINE_RECOMMENDATION"))</x:f>
        <x:v>REFER</x:v>
      </x:c>
      <x:c r="F252" s="77" t="str">
        <x:f>IF(E252="APPROVE_RECOMMENDATION","NO","YES")</x:f>
        <x:v>YES</x:v>
      </x:c>
      <x:c r="G252" s="78" t="n">
        <x:f>B252*Assumptions!$B$8*C252</x:f>
        <x:v>6978.354143697362</x:v>
      </x:c>
      <x:c r="H252" s="14" t="str">
        <x:v>E</x:v>
      </x:c>
      <x:c r="I252" s="73" t="n">
        <x:v>612</x:v>
      </x:c>
    </x:row>
    <x:row r="253">
      <x:c r="A253" s="14" t="str">
        <x:v>APP-0013802</x:v>
      </x:c>
      <x:c r="B253" s="67" t="n">
        <x:v>0.29589109415213166</x:v>
      </x:c>
      <x:c r="C253" s="70" t="n">
        <x:v>14754.96</x:v>
      </x:c>
      <x:c r="D253" s="73" t="n">
        <x:v>0</x:v>
      </x:c>
      <x:c r="E253" s="77" t="str">
        <x:f>IF(B253&lt;Assumptions!$B$6,"APPROVE_RECOMMENDATION",IF(B253&lt;Assumptions!$B$7,"REFER","DECLINE_RECOMMENDATION"))</x:f>
        <x:v>DECLINE_RECOMMENDATION</x:v>
      </x:c>
      <x:c r="F253" s="77" t="str">
        <x:f>IF(E253="APPROVE_RECOMMENDATION","NO","YES")</x:f>
        <x:v>YES</x:v>
      </x:c>
      <x:c r="G253" s="78" t="n">
        <x:f>B253*Assumptions!$B$8*C253</x:f>
        <x:v>1964.6375663569215</x:v>
      </x:c>
      <x:c r="H253" s="14" t="str">
        <x:v>F</x:v>
      </x:c>
      <x:c r="I253" s="73" t="n">
        <x:v>554</x:v>
      </x:c>
    </x:row>
    <x:row r="254">
      <x:c r="A254" s="14" t="str">
        <x:v>APP-0014547</x:v>
      </x:c>
      <x:c r="B254" s="67" t="n">
        <x:v>0.12914777197129063</x:v>
      </x:c>
      <x:c r="C254" s="70" t="n">
        <x:v>135135.56</x:v>
      </x:c>
      <x:c r="D254" s="73" t="n">
        <x:v>0</x:v>
      </x:c>
      <x:c r="E254" s="77" t="str">
        <x:f>IF(B254&lt;Assumptions!$B$6,"APPROVE_RECOMMENDATION",IF(B254&lt;Assumptions!$B$7,"REFER","DECLINE_RECOMMENDATION"))</x:f>
        <x:v>REFER</x:v>
      </x:c>
      <x:c r="F254" s="77" t="str">
        <x:f>IF(E254="APPROVE_RECOMMENDATION","NO","YES")</x:f>
        <x:v>YES</x:v>
      </x:c>
      <x:c r="G254" s="78" t="n">
        <x:f>B254*Assumptions!$B$8*C254</x:f>
        <x:v>7853.605419641698</x:v>
      </x:c>
      <x:c r="H254" s="14" t="str">
        <x:v>D</x:v>
      </x:c>
      <x:c r="I254" s="73" t="n">
        <x:v>629</x:v>
      </x:c>
    </x:row>
    <x:row r="255">
      <x:c r="A255" s="14" t="str">
        <x:v>APP-0015520</x:v>
      </x:c>
      <x:c r="B255" s="67" t="n">
        <x:v>0.08677973384891864</x:v>
      </x:c>
      <x:c r="C255" s="70" t="n">
        <x:v>17664.11</x:v>
      </x:c>
      <x:c r="D255" s="73" t="n">
        <x:v>0</x:v>
      </x:c>
      <x:c r="E255" s="77" t="str">
        <x:f>IF(B255&lt;Assumptions!$B$6,"APPROVE_RECOMMENDATION",IF(B255&lt;Assumptions!$B$7,"REFER","DECLINE_RECOMMENDATION"))</x:f>
        <x:v>APPROVE_RECOMMENDATION</x:v>
      </x:c>
      <x:c r="F255" s="77" t="str">
        <x:f>IF(E255="APPROVE_RECOMMENDATION","NO","YES")</x:f>
        <x:v>NO</x:v>
      </x:c>
      <x:c r="G255" s="78" t="n">
        <x:f>B255*Assumptions!$B$8*C255</x:f>
        <x:v>689.7990440151101</x:v>
      </x:c>
      <x:c r="H255" s="14" t="str">
        <x:v>C</x:v>
      </x:c>
      <x:c r="I255" s="73" t="n">
        <x:v>661</x:v>
      </x:c>
    </x:row>
    <x:row r="256">
      <x:c r="A256" s="14" t="str">
        <x:v>APP-0024045</x:v>
      </x:c>
      <x:c r="B256" s="67" t="n">
        <x:v>0.0940353409943218</x:v>
      </x:c>
      <x:c r="C256" s="70" t="n">
        <x:v>26078.04</x:v>
      </x:c>
      <x:c r="D256" s="73" t="n">
        <x:v>0</x:v>
      </x:c>
      <x:c r="E256" s="77" t="str">
        <x:f>IF(B256&lt;Assumptions!$B$6,"APPROVE_RECOMMENDATION",IF(B256&lt;Assumptions!$B$7,"REFER","DECLINE_RECOMMENDATION"))</x:f>
        <x:v>APPROVE_RECOMMENDATION</x:v>
      </x:c>
      <x:c r="F256" s="77" t="str">
        <x:f>IF(E256="APPROVE_RECOMMENDATION","NO","YES")</x:f>
        <x:v>NO</x:v>
      </x:c>
      <x:c r="G256" s="78" t="n">
        <x:f>B256*Assumptions!$B$8*C256</x:f>
        <x:v>1103.5158227386037</x:v>
      </x:c>
      <x:c r="H256" s="14" t="str">
        <x:v>C</x:v>
      </x:c>
      <x:c r="I256" s="73" t="n">
        <x:v>655</x:v>
      </x:c>
    </x:row>
    <x:row r="257">
      <x:c r="A257" s="14" t="str">
        <x:v>APP-0026640</x:v>
      </x:c>
      <x:c r="B257" s="67" t="n">
        <x:v>0.12996601922790857</x:v>
      </x:c>
      <x:c r="C257" s="70" t="n">
        <x:v>169433.74</x:v>
      </x:c>
      <x:c r="D257" s="73" t="n">
        <x:v>0</x:v>
      </x:c>
      <x:c r="E257" s="77" t="str">
        <x:f>IF(B257&lt;Assumptions!$B$6,"APPROVE_RECOMMENDATION",IF(B257&lt;Assumptions!$B$7,"REFER","DECLINE_RECOMMENDATION"))</x:f>
        <x:v>REFER</x:v>
      </x:c>
      <x:c r="F257" s="77" t="str">
        <x:f>IF(E257="APPROVE_RECOMMENDATION","NO","YES")</x:f>
        <x:v>YES</x:v>
      </x:c>
      <x:c r="G257" s="78" t="n">
        <x:f>B257*Assumptions!$B$8*C257</x:f>
        <x:v>9909.282919813408</x:v>
      </x:c>
      <x:c r="H257" s="14" t="str">
        <x:v>D</x:v>
      </x:c>
      <x:c r="I257" s="73" t="n">
        <x:v>629</x:v>
      </x:c>
    </x:row>
    <x:row r="258">
      <x:c r="A258" s="14" t="str">
        <x:v>APP-0026788</x:v>
      </x:c>
      <x:c r="B258" s="67" t="n">
        <x:v>0.15621097270890835</x:v>
      </x:c>
      <x:c r="C258" s="70" t="n">
        <x:v>71984.15</x:v>
      </x:c>
      <x:c r="D258" s="73" t="n">
        <x:v>0</x:v>
      </x:c>
      <x:c r="E258" s="77" t="str">
        <x:f>IF(B258&lt;Assumptions!$B$6,"APPROVE_RECOMMENDATION",IF(B258&lt;Assumptions!$B$7,"REFER","DECLINE_RECOMMENDATION"))</x:f>
        <x:v>REFER</x:v>
      </x:c>
      <x:c r="F258" s="77" t="str">
        <x:f>IF(E258="APPROVE_RECOMMENDATION","NO","YES")</x:f>
        <x:v>YES</x:v>
      </x:c>
      <x:c r="G258" s="78" t="n">
        <x:f>B258*Assumptions!$B$8*C258</x:f>
        <x:v>5060.1213410057835</x:v>
      </x:c>
      <x:c r="H258" s="14" t="str">
        <x:v>E</x:v>
      </x:c>
      <x:c r="I258" s="73" t="n">
        <x:v>613</x:v>
      </x:c>
    </x:row>
    <x:row r="259">
      <x:c r="A259" s="14" t="str">
        <x:v>APP-0028032</x:v>
      </x:c>
      <x:c r="B259" s="67" t="n">
        <x:v>0.04790070322910514</x:v>
      </x:c>
      <x:c r="C259" s="70" t="n">
        <x:v>37462.92</x:v>
      </x:c>
      <x:c r="D259" s="73" t="n">
        <x:v>0</x:v>
      </x:c>
      <x:c r="E259" s="77" t="str">
        <x:f>IF(B259&lt;Assumptions!$B$6,"APPROVE_RECOMMENDATION",IF(B259&lt;Assumptions!$B$7,"REFER","DECLINE_RECOMMENDATION"))</x:f>
        <x:v>APPROVE_RECOMMENDATION</x:v>
      </x:c>
      <x:c r="F259" s="77" t="str">
        <x:f>IF(E259="APPROVE_RECOMMENDATION","NO","YES")</x:f>
        <x:v>NO</x:v>
      </x:c>
      <x:c r="G259" s="78" t="n">
        <x:f>B259*Assumptions!$B$8*C259</x:f>
        <x:v>807.5250958570684</x:v>
      </x:c>
      <x:c r="H259" s="14" t="str">
        <x:v>B</x:v>
      </x:c>
      <x:c r="I259" s="73" t="n">
        <x:v>707</x:v>
      </x:c>
    </x:row>
    <x:row r="260">
      <x:c r="A260" s="15" t="str">
        <x:v>APP-0029426</x:v>
      </x:c>
      <x:c r="B260" s="68" t="n">
        <x:v>0.279337141991754</x:v>
      </x:c>
      <x:c r="C260" s="71" t="n">
        <x:v>44697.77</x:v>
      </x:c>
      <x:c r="D260" s="74" t="n">
        <x:v>1</x:v>
      </x:c>
      <x:c r="E260" s="79" t="str">
        <x:f>IF(B260&lt;Assumptions!$B$6,"APPROVE_RECOMMENDATION",IF(B260&lt;Assumptions!$B$7,"REFER","DECLINE_RECOMMENDATION"))</x:f>
        <x:v>DECLINE_RECOMMENDATION</x:v>
      </x:c>
      <x:c r="F260" s="79" t="str">
        <x:f>IF(E260="APPROVE_RECOMMENDATION","NO","YES")</x:f>
        <x:v>YES</x:v>
      </x:c>
      <x:c r="G260" s="80" t="n">
        <x:f>B260*Assumptions!$B$8*C260</x:f>
        <x:v>5618.586296342143</x:v>
      </x:c>
      <x:c r="H260" s="15" t="str">
        <x:v>F</x:v>
      </x:c>
      <x:c r="I260" s="74" t="n">
        <x:v>560</x:v>
      </x:c>
    </x:row>
  </x:sheetData>
  <x:mergeCells>
    <x:mergeCell ref="A1:I1"/>
    <x:mergeCell ref="A2:I2"/>
    <x:mergeCell ref="A4:B4"/>
    <x:mergeCell ref="A5:B6"/>
    <x:mergeCell ref="C4:D4"/>
    <x:mergeCell ref="C5:D6"/>
    <x:mergeCell ref="E4:F4"/>
    <x:mergeCell ref="E5:F6"/>
    <x:mergeCell ref="G4:I4"/>
    <x:mergeCell ref="G5:I6"/>
  </x:mergeCells>
  <x:conditionalFormatting sqref="E11:E260">
    <x:cfRule type="containsText" dxfId="0" priority="1" operator="containsText" text="DECLINE"/>
    <x:cfRule type="containsText" dxfId="1" priority="2" operator="containsText" text="REFER"/>
    <x:cfRule type="containsText" dxfId="2" priority="3" operator="containsText" text="APPROV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6" hidden="0" customWidth="1"/>
    <x:col min="9" max="9" width="32" hidden="0" customWidth="1"/>
  </x:cols>
  <x:sheetData>
    <x:row r="1" ht="34" customHeight="1">
      <x:c r="A1" s="22" t="str">
        <x:v>Champion and challenger comparison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25" t="str">
        <x:v>Temporal validation window: 2024-H2. Champion selection combines performance, calibration and auditability.</x:v>
      </x:c>
      <x:c r="B2" s="25"/>
      <x:c r="C2" s="25"/>
      <x:c r="D2" s="25"/>
      <x:c r="E2" s="25"/>
      <x:c r="F2" s="25"/>
      <x:c r="G2" s="25"/>
      <x:c r="H2" s="25"/>
      <x:c r="I2" s="25"/>
    </x:row>
    <x:row r="4" ht="28" customHeight="1">
      <x:c r="A4" s="34" t="str">
        <x:v>Model</x:v>
      </x:c>
      <x:c r="B4" s="35" t="str">
        <x:v>ROC AUC</x:v>
      </x:c>
      <x:c r="C4" s="35" t="str">
        <x:v>Gini</x:v>
      </x:c>
      <x:c r="D4" s="35" t="str">
        <x:v>PR AUC</x:v>
      </x:c>
      <x:c r="E4" s="35" t="str">
        <x:v>KS</x:v>
      </x:c>
      <x:c r="F4" s="35" t="str">
        <x:v>Brier</x:v>
      </x:c>
      <x:c r="G4" s="35" t="str">
        <x:v>Calibration slope</x:v>
      </x:c>
      <x:c r="H4" s="35" t="str">
        <x:v>Status</x:v>
      </x:c>
      <x:c r="I4" s="36" t="str">
        <x:v>Explainability</x:v>
      </x:c>
    </x:row>
    <x:row r="5">
      <x:c r="A5" s="88" t="str">
        <x:v>histogram_gradient_boosting</x:v>
      </x:c>
      <x:c r="B5" s="91" t="n">
        <x:v>0.7250907946160521</x:v>
      </x:c>
      <x:c r="C5" s="91" t="n">
        <x:v>0.45018158923210416</x:v>
      </x:c>
      <x:c r="D5" s="91" t="n">
        <x:v>0.3912818437901343</x:v>
      </x:c>
      <x:c r="E5" s="91" t="n">
        <x:v>0.3233121415244282</x:v>
      </x:c>
      <x:c r="F5" s="91" t="n">
        <x:v>0.12694532361145175</x:v>
      </x:c>
      <x:c r="G5" s="91" t="n">
        <x:v>0.9922808729961365</x:v>
      </x:c>
      <x:c r="H5" s="88" t="str">
        <x:v>CHALLENGER</x:v>
      </x:c>
      <x:c r="I5" s="88" t="str">
        <x:v>Challenger diagnostics only</x:v>
      </x:c>
    </x:row>
    <x:row r="6">
      <x:c r="A6" s="89" t="str">
        <x:v>random_forest</x:v>
      </x:c>
      <x:c r="B6" s="92" t="n">
        <x:v>0.7196158600726357</x:v>
      </x:c>
      <x:c r="C6" s="92" t="n">
        <x:v>0.43923172014527134</x:v>
      </x:c>
      <x:c r="D6" s="92" t="n">
        <x:v>0.386674441330254</x:v>
      </x:c>
      <x:c r="E6" s="92" t="n">
        <x:v>0.31406644707038595</x:v>
      </x:c>
      <x:c r="F6" s="92" t="n">
        <x:v>0.12772873637838167</x:v>
      </x:c>
      <x:c r="G6" s="92" t="n">
        <x:v>0.9727183125861637</x:v>
      </x:c>
      <x:c r="H6" s="89" t="str">
        <x:v>CHALLENGER</x:v>
      </x:c>
      <x:c r="I6" s="89" t="str">
        <x:v>Challenger diagnostics only</x:v>
      </x:c>
    </x:row>
    <x:row r="7">
      <x:c r="A7" s="90" t="str">
        <x:v>logistic_regression</x:v>
      </x:c>
      <x:c r="B7" s="93" t="n">
        <x:v>0.7328150553981526</x:v>
      </x:c>
      <x:c r="C7" s="93" t="n">
        <x:v>0.46563011079630523</x:v>
      </x:c>
      <x:c r="D7" s="93" t="n">
        <x:v>0.40311839890115014</x:v>
      </x:c>
      <x:c r="E7" s="93" t="n">
        <x:v>0.3358394950821183</x:v>
      </x:c>
      <x:c r="F7" s="93" t="n">
        <x:v>0.12581623994232974</x:v>
      </x:c>
      <x:c r="G7" s="93" t="n">
        <x:v>0.9693204327241965</x:v>
      </x:c>
      <x:c r="H7" s="90" t="str">
        <x:v>CHAMPION</x:v>
      </x:c>
      <x:c r="I7" s="90" t="str">
        <x:v>Exact additive Linear SHAP</x:v>
      </x:c>
    </x:row>
    <x:row r="9">
      <x:c r="A9" s="95" t="str">
        <x:v>logistic_regression</x:v>
      </x:c>
      <x:c r="B9" s="96" t="n">
        <x:v>0.737634572625172</x:v>
      </x:c>
      <x:c r="C9" s="96" t="n">
        <x:v>0.4752691452503439</x:v>
      </x:c>
      <x:c r="D9" s="96" t="n">
        <x:v>0.42127175899107694</x:v>
      </x:c>
      <x:c r="E9" s="96" t="n">
        <x:v>0.36133801558457246</x:v>
      </x:c>
      <x:c r="F9" s="96" t="n">
        <x:v>0.13446153064887928</x:v>
      </x:c>
      <x:c r="G9" s="96" t="n">
        <x:v>0.9808991033630107</x:v>
      </x:c>
      <x:c r="H9" s="95" t="str">
        <x:v>OOT CHAMPION</x:v>
      </x:c>
      <x:c r="I9" s="95" t="str">
        <x:v>Exact additive Linear SHAP</x:v>
      </x:c>
    </x:row>
  </x:sheetData>
  <x:mergeCells>
    <x:mergeCell ref="A1:I1"/>
    <x:mergeCell ref="A2:I2"/>
  </x:mergeCells>
  <x:conditionalFormatting sqref="H5:H9">
    <x:cfRule type="containsText" dxfId="3" priority="1" operator="containsText" text="CHAMPION"/>
  </x:conditionalFormatting>
  <x:pageMargins left="0.7" right="0.7" top="0.75" bottom="0.75" header="0.3" footer="0.3"/>
  <x:drawing xmlns:r="http://schemas.openxmlformats.org/officeDocument/2006/relationships" r:id="Rdd5d726fda7a48c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5" hidden="0" customWidth="1"/>
    <x:col min="5" max="5" width="15" hidden="0" customWidth="1"/>
    <x:col min="6" max="6" width="18" hidden="0" customWidth="1"/>
  </x:cols>
  <x:sheetData>
    <x:row r="1" ht="34" customHeight="1">
      <x:c r="A1" s="22" t="str">
        <x:v>Risk band performance</x:v>
      </x:c>
      <x:c r="B1" s="22"/>
      <x:c r="C1" s="22"/>
      <x:c r="D1" s="22"/>
      <x:c r="E1" s="22"/>
      <x:c r="F1" s="22"/>
    </x:row>
    <x:row r="2" ht="34" customHeight="1">
      <x:c r="A2" s="25" t="str">
        <x:v>A-F bands are policy communication layers over continuous PD; they are not regulatory grades.</x:v>
      </x:c>
      <x:c r="B2" s="25"/>
      <x:c r="C2" s="25"/>
      <x:c r="D2" s="25"/>
      <x:c r="E2" s="25"/>
      <x:c r="F2" s="25"/>
    </x:row>
    <x:row r="4" ht="28" customHeight="1">
      <x:c r="A4" s="34" t="str">
        <x:v>Risk Band</x:v>
      </x:c>
      <x:c r="B4" s="35" t="str">
        <x:v>Applications</x:v>
      </x:c>
      <x:c r="C4" s="35" t="str">
        <x:v>Exposure</x:v>
      </x:c>
      <x:c r="D4" s="35" t="str">
        <x:v>Average PD</x:v>
      </x:c>
      <x:c r="E4" s="35" t="str">
        <x:v>Observed DR</x:v>
      </x:c>
      <x:c r="F4" s="36" t="str">
        <x:v>Expected Loss</x:v>
      </x:c>
    </x:row>
    <x:row r="5">
      <x:c r="A5" s="88" t="str">
        <x:v>A</x:v>
      </x:c>
      <x:c r="B5" s="97" t="n">
        <x:v>421</x:v>
      </x:c>
      <x:c r="C5" s="100" t="n">
        <x:v>19917043.11</x:v>
      </x:c>
      <x:c r="D5" s="66" t="n">
        <x:v>0.023593214514982436</x:v>
      </x:c>
      <x:c r="E5" s="66" t="n">
        <x:v>0.0332541567695962</x:v>
      </x:c>
      <x:c r="F5" s="100" t="n">
        <x:v>211525.03528583056</x:v>
      </x:c>
    </x:row>
    <x:row r="6">
      <x:c r="A6" s="89" t="str">
        <x:v>B</x:v>
      </x:c>
      <x:c r="B6" s="98" t="n">
        <x:v>1948</x:v>
      </x:c>
      <x:c r="C6" s="101" t="n">
        <x:v>91156237.8</x:v>
      </x:c>
      <x:c r="D6" s="67" t="n">
        <x:v>0.04591288298989948</x:v>
      </x:c>
      <x:c r="E6" s="67" t="n">
        <x:v>0.058008213552361396</x:v>
      </x:c>
      <x:c r="F6" s="101" t="n">
        <x:v>1880377.516439963</x:v>
      </x:c>
    </x:row>
    <x:row r="7">
      <x:c r="A7" s="89" t="str">
        <x:v>C</x:v>
      </x:c>
      <x:c r="B7" s="98" t="n">
        <x:v>2657</x:v>
      </x:c>
      <x:c r="C7" s="101" t="n">
        <x:v>128491675.77</x:v>
      </x:c>
      <x:c r="D7" s="67" t="n">
        <x:v>0.07909727666797423</x:v>
      </x:c>
      <x:c r="E7" s="67" t="n">
        <x:v>0.10124200225818593</x:v>
      </x:c>
      <x:c r="F7" s="101" t="n">
        <x:v>4576701.994237482</x:v>
      </x:c>
    </x:row>
    <x:row r="8">
      <x:c r="A8" s="89" t="str">
        <x:v>D</x:v>
      </x:c>
      <x:c r="B8" s="98" t="n">
        <x:v>2372</x:v>
      </x:c>
      <x:c r="C8" s="101" t="n">
        <x:v>119360744.88</x:v>
      </x:c>
      <x:c r="D8" s="67" t="n">
        <x:v>0.12316962030876367</x:v>
      </x:c>
      <x:c r="E8" s="67" t="n">
        <x:v>0.14165261382799327</x:v>
      </x:c>
      <x:c r="F8" s="101" t="n">
        <x:v>6614999.536411175</x:v>
      </x:c>
    </x:row>
    <x:row r="9">
      <x:c r="A9" s="89" t="str">
        <x:v>E</x:v>
      </x:c>
      <x:c r="B9" s="98" t="n">
        <x:v>1949</x:v>
      </x:c>
      <x:c r="C9" s="101" t="n">
        <x:v>95809960.37</x:v>
      </x:c>
      <x:c r="D9" s="67" t="n">
        <x:v>0.18112241517795075</x:v>
      </x:c>
      <x:c r="E9" s="67" t="n">
        <x:v>0.2344792201128784</x:v>
      </x:c>
      <x:c r="F9" s="101" t="n">
        <x:v>7804144.457375571</x:v>
      </x:c>
    </x:row>
    <x:row r="10">
      <x:c r="A10" s="90" t="str">
        <x:v>F</x:v>
      </x:c>
      <x:c r="B10" s="99" t="n">
        <x:v>2718</x:v>
      </x:c>
      <x:c r="C10" s="102" t="n">
        <x:v>146199197.17</x:v>
      </x:c>
      <x:c r="D10" s="68" t="n">
        <x:v>0.35250611595656717</x:v>
      </x:c>
      <x:c r="E10" s="68" t="n">
        <x:v>0.3984547461368653</x:v>
      </x:c>
      <x:c r="F10" s="102" t="n">
        <x:v>23380970.8459623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af16aca4cf4a423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5" hidden="0" customWidth="1"/>
    <x:col min="5" max="5" width="15" hidden="0" customWidth="1"/>
    <x:col min="6" max="6" width="20" hidden="0" customWidth="1"/>
    <x:col min="7" max="7" width="12" hidden="0" customWidth="1"/>
  </x:cols>
  <x:sheetData>
    <x:row r="1" ht="34" customHeight="1">
      <x:c r="A1" s="22" t="str">
        <x:v>Risk decile validation</x:v>
      </x:c>
      <x:c r="B1" s="22"/>
      <x:c r="C1" s="22"/>
      <x:c r="D1" s="22"/>
      <x:c r="E1" s="22"/>
      <x:c r="F1" s="22"/>
      <x:c r="G1" s="22"/>
    </x:row>
    <x:row r="2" ht="34" customHeight="1">
      <x:c r="A2" s="25" t="str">
        <x:v>Decile 1 contains the highest predicted risk. Observed and predicted rates support rank ordering and calibration review.</x:v>
      </x:c>
      <x:c r="B2" s="25"/>
      <x:c r="C2" s="25"/>
      <x:c r="D2" s="25"/>
      <x:c r="E2" s="25"/>
      <x:c r="F2" s="25"/>
      <x:c r="G2" s="25"/>
    </x:row>
    <x:row r="4" ht="28" customHeight="1">
      <x:c r="A4" s="34" t="str">
        <x:v>Risk Decile</x:v>
      </x:c>
      <x:c r="B4" s="35" t="str">
        <x:v>Applications</x:v>
      </x:c>
      <x:c r="C4" s="35" t="str">
        <x:v>Defaults</x:v>
      </x:c>
      <x:c r="D4" s="35" t="str">
        <x:v>Observed DR</x:v>
      </x:c>
      <x:c r="E4" s="35" t="str">
        <x:v>Predicted PD</x:v>
      </x:c>
      <x:c r="F4" s="35" t="str">
        <x:v>Cumulative Capture</x:v>
      </x:c>
      <x:c r="G4" s="36" t="str">
        <x:v>Lift</x:v>
      </x:c>
    </x:row>
    <x:row r="5">
      <x:c r="A5" s="72" t="n">
        <x:v>1</x:v>
      </x:c>
      <x:c r="B5" s="97" t="n">
        <x:v>1207</x:v>
      </x:c>
      <x:c r="C5" s="97" t="n">
        <x:v>616</x:v>
      </x:c>
      <x:c r="D5" s="66" t="n">
        <x:v>0.5103562551781275</x:v>
      </x:c>
      <x:c r="E5" s="66" t="n">
        <x:v>0.4604665289610513</x:v>
      </x:c>
      <x:c r="F5" s="66" t="n">
        <x:v>0.2711267605633803</x:v>
      </x:c>
      <x:c r="G5" s="103" t="n">
        <x:v>2.710144462466597</x:v>
      </x:c>
    </x:row>
    <x:row r="6">
      <x:c r="A6" s="73" t="n">
        <x:v>2</x:v>
      </x:c>
      <x:c r="B6" s="98" t="n">
        <x:v>1206</x:v>
      </x:c>
      <x:c r="C6" s="98" t="n">
        <x:v>382</x:v>
      </x:c>
      <x:c r="D6" s="67" t="n">
        <x:v>0.3167495854063018</x:v>
      </x:c>
      <x:c r="E6" s="67" t="n">
        <x:v>0.27599463587316836</x:v>
      </x:c>
      <x:c r="F6" s="67" t="n">
        <x:v>0.4392605633802817</x:v>
      </x:c>
      <x:c r="G6" s="104" t="n">
        <x:v>1.6820351003199963</x:v>
      </x:c>
    </x:row>
    <x:row r="7">
      <x:c r="A7" s="73" t="n">
        <x:v>3</x:v>
      </x:c>
      <x:c r="B7" s="98" t="n">
        <x:v>1207</x:v>
      </x:c>
      <x:c r="C7" s="98" t="n">
        <x:v>300</x:v>
      </x:c>
      <x:c r="D7" s="67" t="n">
        <x:v>0.24855012427506215</x:v>
      </x:c>
      <x:c r="E7" s="67" t="n">
        <x:v>0.2069127428325598</x:v>
      </x:c>
      <x:c r="F7" s="67" t="n">
        <x:v>0.5713028169014085</x:v>
      </x:c>
      <x:c r="G7" s="104" t="n">
        <x:v>1.3198755499025636</x:v>
      </x:c>
    </x:row>
    <x:row r="8">
      <x:c r="A8" s="73" t="n">
        <x:v>4</x:v>
      </x:c>
      <x:c r="B8" s="98" t="n">
        <x:v>1206</x:v>
      </x:c>
      <x:c r="C8" s="98" t="n">
        <x:v>276</x:v>
      </x:c>
      <x:c r="D8" s="67" t="n">
        <x:v>0.22885572139303484</x:v>
      </x:c>
      <x:c r="E8" s="67" t="n">
        <x:v>0.16275689578642394</x:v>
      </x:c>
      <x:c r="F8" s="67" t="n">
        <x:v>0.6927816901408451</x:v>
      </x:c>
      <x:c r="G8" s="104" t="n">
        <x:v>1.215292376147432</x:v>
      </x:c>
    </x:row>
    <x:row r="9">
      <x:c r="A9" s="73" t="n">
        <x:v>5</x:v>
      </x:c>
      <x:c r="B9" s="98" t="n">
        <x:v>1207</x:v>
      </x:c>
      <x:c r="C9" s="98" t="n">
        <x:v>185</x:v>
      </x:c>
      <x:c r="D9" s="67" t="n">
        <x:v>0.15327257663628832</x:v>
      </x:c>
      <x:c r="E9" s="67" t="n">
        <x:v>0.13147755794328428</x:v>
      </x:c>
      <x:c r="F9" s="67" t="n">
        <x:v>0.7742077464788732</x:v>
      </x:c>
      <x:c r="G9" s="104" t="n">
        <x:v>0.8139232557732475</x:v>
      </x:c>
    </x:row>
    <x:row r="10">
      <x:c r="A10" s="73" t="n">
        <x:v>6</x:v>
      </x:c>
      <x:c r="B10" s="98" t="n">
        <x:v>1206</x:v>
      </x:c>
      <x:c r="C10" s="98" t="n">
        <x:v>142</x:v>
      </x:c>
      <x:c r="D10" s="67" t="n">
        <x:v>0.11774461028192372</x:v>
      </x:c>
      <x:c r="E10" s="67" t="n">
        <x:v>0.1074376769265966</x:v>
      </x:c>
      <x:c r="F10" s="67" t="n">
        <x:v>0.8367077464788732</x:v>
      </x:c>
      <x:c r="G10" s="104" t="n">
        <x:v>0.6252591210613598</x:v>
      </x:c>
    </x:row>
    <x:row r="11">
      <x:c r="A11" s="73" t="n">
        <x:v>7</x:v>
      </x:c>
      <x:c r="B11" s="98" t="n">
        <x:v>1206</x:v>
      </x:c>
      <x:c r="C11" s="98" t="n">
        <x:v>127</x:v>
      </x:c>
      <x:c r="D11" s="67" t="n">
        <x:v>0.10530679933665009</x:v>
      </x:c>
      <x:c r="E11" s="67" t="n">
        <x:v>0.08704965364669863</x:v>
      </x:c>
      <x:c r="F11" s="67" t="n">
        <x:v>0.8926056338028169</x:v>
      </x:c>
      <x:c r="G11" s="104" t="n">
        <x:v>0.5592106223576951</x:v>
      </x:c>
    </x:row>
    <x:row r="12">
      <x:c r="A12" s="73" t="n">
        <x:v>8</x:v>
      </x:c>
      <x:c r="B12" s="98" t="n">
        <x:v>1207</x:v>
      </x:c>
      <x:c r="C12" s="98" t="n">
        <x:v>113</x:v>
      </x:c>
      <x:c r="D12" s="67" t="n">
        <x:v>0.0936205468102734</x:v>
      </x:c>
      <x:c r="E12" s="67" t="n">
        <x:v>0.06866519964396502</x:v>
      </x:c>
      <x:c r="F12" s="67" t="n">
        <x:v>0.9423415492957746</x:v>
      </x:c>
      <x:c r="G12" s="104" t="n">
        <x:v>0.4971531237966323</x:v>
      </x:c>
    </x:row>
    <x:row r="13">
      <x:c r="A13" s="73" t="n">
        <x:v>9</x:v>
      </x:c>
      <x:c r="B13" s="98" t="n">
        <x:v>1206</x:v>
      </x:c>
      <x:c r="C13" s="98" t="n">
        <x:v>79</x:v>
      </x:c>
      <x:c r="D13" s="67" t="n">
        <x:v>0.06550580431177445</x:v>
      </x:c>
      <x:c r="E13" s="67" t="n">
        <x:v>0.052175739785323916</x:v>
      </x:c>
      <x:c r="F13" s="67" t="n">
        <x:v>0.977112676056338</x:v>
      </x:c>
      <x:c r="G13" s="104" t="n">
        <x:v>0.34785542650596774</x:v>
      </x:c>
    </x:row>
    <x:row r="14">
      <x:c r="A14" s="74" t="n">
        <x:v>10</x:v>
      </x:c>
      <x:c r="B14" s="99" t="n">
        <x:v>1207</x:v>
      </x:c>
      <x:c r="C14" s="99" t="n">
        <x:v>52</x:v>
      </x:c>
      <x:c r="D14" s="68" t="n">
        <x:v>0.04308202154101077</x:v>
      </x:c>
      <x:c r="E14" s="68" t="n">
        <x:v>0.032395156345849885</x:v>
      </x:c>
      <x:c r="F14" s="68" t="n">
        <x:v>1</x:v>
      </x:c>
      <x:c r="G14" s="105" t="n">
        <x:v>0.22877842864977768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16fb2998416e452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34" customHeight="1">
      <x:c r="A1" s="22" t="str">
        <x:v>Monthly model monitoring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25" t="str">
        <x:v>OOT 2025 monitoring: discrimination, calibration, approval allocation and distribution stability.</x:v>
      </x:c>
      <x:c r="B2" s="25"/>
      <x:c r="C2" s="25"/>
      <x:c r="D2" s="25"/>
      <x:c r="E2" s="25"/>
      <x:c r="F2" s="25"/>
      <x:c r="G2" s="25"/>
      <x:c r="H2" s="25"/>
      <x:c r="I2" s="25"/>
    </x:row>
    <x:row r="4" ht="28" customHeight="1">
      <x:c r="A4" s="34" t="str">
        <x:v>Month</x:v>
      </x:c>
      <x:c r="B4" s="35" t="str">
        <x:v>Applications</x:v>
      </x:c>
      <x:c r="C4" s="35" t="str">
        <x:v>Observed DR</x:v>
      </x:c>
      <x:c r="D4" s="35" t="str">
        <x:v>Average PD</x:v>
      </x:c>
      <x:c r="E4" s="35" t="str">
        <x:v>ROC AUC</x:v>
      </x:c>
      <x:c r="F4" s="35" t="str">
        <x:v>Brier</x:v>
      </x:c>
      <x:c r="G4" s="35" t="str">
        <x:v>Approval Rate</x:v>
      </x:c>
      <x:c r="H4" s="35" t="str">
        <x:v>Score PSI</x:v>
      </x:c>
      <x:c r="I4" s="36" t="str">
        <x:v>Alert</x:v>
      </x:c>
    </x:row>
    <x:row r="5">
      <x:c r="A5" s="88" t="str">
        <x:v>2025-01</x:v>
      </x:c>
      <x:c r="B5" s="97" t="n">
        <x:v>1021</x:v>
      </x:c>
      <x:c r="C5" s="66" t="n">
        <x:v>0.1860920666013712</x:v>
      </x:c>
      <x:c r="D5" s="66" t="n">
        <x:v>0.14972746403888776</x:v>
      </x:c>
      <x:c r="E5" s="91" t="n">
        <x:v>0.7360567483691178</x:v>
      </x:c>
      <x:c r="F5" s="91" t="n">
        <x:v>0.13638332030487735</x:v>
      </x:c>
      <x:c r="G5" s="66" t="n">
        <x:v>0.4485798237022527</x:v>
      </x:c>
      <x:c r="H5" s="91" t="n">
        <x:v>0.01668802723286052</x:v>
      </x:c>
      <x:c r="I5" s="88" t="str">
        <x:v>GREEN</x:v>
      </x:c>
    </x:row>
    <x:row r="6">
      <x:c r="A6" s="89" t="str">
        <x:v>2025-02</x:v>
      </x:c>
      <x:c r="B6" s="98" t="n">
        <x:v>933</x:v>
      </x:c>
      <x:c r="C6" s="67" t="n">
        <x:v>0.20257234726688103</x:v>
      </x:c>
      <x:c r="D6" s="67" t="n">
        <x:v>0.15301390004872065</x:v>
      </x:c>
      <x:c r="E6" s="92" t="n">
        <x:v>0.7659868009330374</x:v>
      </x:c>
      <x:c r="F6" s="92" t="n">
        <x:v>0.14017633219700548</x:v>
      </x:c>
      <x:c r="G6" s="67" t="n">
        <x:v>0.4437299035369775</x:v>
      </x:c>
      <x:c r="H6" s="92" t="n">
        <x:v>0.013506601286533575</x:v>
      </x:c>
      <x:c r="I6" s="89" t="str">
        <x:v>GREEN</x:v>
      </x:c>
    </x:row>
    <x:row r="7">
      <x:c r="A7" s="89" t="str">
        <x:v>2025-03</x:v>
      </x:c>
      <x:c r="B7" s="98" t="n">
        <x:v>1054</x:v>
      </x:c>
      <x:c r="C7" s="67" t="n">
        <x:v>0.22580645161290322</x:v>
      </x:c>
      <x:c r="D7" s="67" t="n">
        <x:v>0.16269591215306337</x:v>
      </x:c>
      <x:c r="E7" s="92" t="n">
        <x:v>0.7451907233481629</x:v>
      </x:c>
      <x:c r="F7" s="92" t="n">
        <x:v>0.1550947357945528</x:v>
      </x:c>
      <x:c r="G7" s="67" t="n">
        <x:v>0.4240986717267552</x:v>
      </x:c>
      <x:c r="H7" s="92" t="n">
        <x:v>0.0025321145607373665</x:v>
      </x:c>
      <x:c r="I7" s="89" t="str">
        <x:v>GREEN</x:v>
      </x:c>
    </x:row>
    <x:row r="8">
      <x:c r="A8" s="89" t="str">
        <x:v>2025-04</x:v>
      </x:c>
      <x:c r="B8" s="98" t="n">
        <x:v>1035</x:v>
      </x:c>
      <x:c r="C8" s="67" t="n">
        <x:v>0.16618357487922705</x:v>
      </x:c>
      <x:c r="D8" s="67" t="n">
        <x:v>0.16081568470172497</x:v>
      </x:c>
      <x:c r="E8" s="92" t="n">
        <x:v>0.7342625778113125</x:v>
      </x:c>
      <x:c r="F8" s="92" t="n">
        <x:v>0.12104682083006987</x:v>
      </x:c>
      <x:c r="G8" s="67" t="n">
        <x:v>0.4096618357487923</x:v>
      </x:c>
      <x:c r="H8" s="92" t="n">
        <x:v>0.007811727068073001</x:v>
      </x:c>
      <x:c r="I8" s="89" t="str">
        <x:v>GREEN</x:v>
      </x:c>
    </x:row>
    <x:row r="9">
      <x:c r="A9" s="89" t="str">
        <x:v>2025-05</x:v>
      </x:c>
      <x:c r="B9" s="98" t="n">
        <x:v>998</x:v>
      </x:c>
      <x:c r="C9" s="67" t="n">
        <x:v>0.18637274549098196</x:v>
      </x:c>
      <x:c r="D9" s="67" t="n">
        <x:v>0.162519673912636</x:v>
      </x:c>
      <x:c r="E9" s="92" t="n">
        <x:v>0.7656854176598337</x:v>
      </x:c>
      <x:c r="F9" s="92" t="n">
        <x:v>0.13070522892876565</x:v>
      </x:c>
      <x:c r="G9" s="67" t="n">
        <x:v>0.42384769539078154</x:v>
      </x:c>
      <x:c r="H9" s="92" t="n">
        <x:v>0.0040016849049871964</x:v>
      </x:c>
      <x:c r="I9" s="89" t="str">
        <x:v>GREEN</x:v>
      </x:c>
    </x:row>
    <x:row r="10">
      <x:c r="A10" s="89" t="str">
        <x:v>2025-06</x:v>
      </x:c>
      <x:c r="B10" s="98" t="n">
        <x:v>917</x:v>
      </x:c>
      <x:c r="C10" s="67" t="n">
        <x:v>0.193020719738277</x:v>
      </x:c>
      <x:c r="D10" s="67" t="n">
        <x:v>0.16429980447729559</x:v>
      </x:c>
      <x:c r="E10" s="92" t="n">
        <x:v>0.7396243701328448</x:v>
      </x:c>
      <x:c r="F10" s="92" t="n">
        <x:v>0.1329824828985978</x:v>
      </x:c>
      <x:c r="G10" s="67" t="n">
        <x:v>0.4034896401308615</x:v>
      </x:c>
      <x:c r="H10" s="92" t="n">
        <x:v>0.00878868493905688</x:v>
      </x:c>
      <x:c r="I10" s="89" t="str">
        <x:v>GREEN</x:v>
      </x:c>
    </x:row>
    <x:row r="11">
      <x:c r="A11" s="89" t="str">
        <x:v>2025-07</x:v>
      </x:c>
      <x:c r="B11" s="98" t="n">
        <x:v>974</x:v>
      </x:c>
      <x:c r="C11" s="67" t="n">
        <x:v>0.1806981519507187</x:v>
      </x:c>
      <x:c r="D11" s="67" t="n">
        <x:v>0.1576491127605796</x:v>
      </x:c>
      <x:c r="E11" s="92" t="n">
        <x:v>0.70320688083846</x:v>
      </x:c>
      <x:c r="F11" s="92" t="n">
        <x:v>0.13342565905327525</x:v>
      </x:c>
      <x:c r="G11" s="67" t="n">
        <x:v>0.40349075975359344</x:v>
      </x:c>
      <x:c r="H11" s="92" t="n">
        <x:v>0.008674551648912779</x:v>
      </x:c>
      <x:c r="I11" s="89" t="str">
        <x:v>GREEN</x:v>
      </x:c>
    </x:row>
    <x:row r="12">
      <x:c r="A12" s="89" t="str">
        <x:v>2025-08</x:v>
      </x:c>
      <x:c r="B12" s="98" t="n">
        <x:v>1027</x:v>
      </x:c>
      <x:c r="C12" s="67" t="n">
        <x:v>0.18403115871470302</x:v>
      </x:c>
      <x:c r="D12" s="67" t="n">
        <x:v>0.15604793107113746</x:v>
      </x:c>
      <x:c r="E12" s="92" t="n">
        <x:v>0.7727077571946307</x:v>
      </x:c>
      <x:c r="F12" s="92" t="n">
        <x:v>0.13049331041245682</x:v>
      </x:c>
      <x:c r="G12" s="67" t="n">
        <x:v>0.4294060370009737</x:v>
      </x:c>
      <x:c r="H12" s="92" t="n">
        <x:v>0.014696704054679132</x:v>
      </x:c>
      <x:c r="I12" s="89" t="str">
        <x:v>GREEN</x:v>
      </x:c>
    </x:row>
    <x:row r="13">
      <x:c r="A13" s="89" t="str">
        <x:v>2025-09</x:v>
      </x:c>
      <x:c r="B13" s="98" t="n">
        <x:v>994</x:v>
      </x:c>
      <x:c r="C13" s="67" t="n">
        <x:v>0.17002012072434608</x:v>
      </x:c>
      <x:c r="D13" s="67" t="n">
        <x:v>0.15605278049997295</x:v>
      </x:c>
      <x:c r="E13" s="92" t="n">
        <x:v>0.734803657880581</x:v>
      </x:c>
      <x:c r="F13" s="92" t="n">
        <x:v>0.12365003578627377</x:v>
      </x:c>
      <x:c r="G13" s="67" t="n">
        <x:v>0.4124748490945674</x:v>
      </x:c>
      <x:c r="H13" s="92" t="n">
        <x:v>0.010449246027405285</x:v>
      </x:c>
      <x:c r="I13" s="89" t="str">
        <x:v>GREEN</x:v>
      </x:c>
    </x:row>
    <x:row r="14">
      <x:c r="A14" s="89" t="str">
        <x:v>2025-10</x:v>
      </x:c>
      <x:c r="B14" s="98" t="n">
        <x:v>1053</x:v>
      </x:c>
      <x:c r="C14" s="67" t="n">
        <x:v>0.18613485280151948</x:v>
      </x:c>
      <x:c r="D14" s="67" t="n">
        <x:v>0.1585198983114008</x:v>
      </x:c>
      <x:c r="E14" s="92" t="n">
        <x:v>0.7273533684185458</x:v>
      </x:c>
      <x:c r="F14" s="92" t="n">
        <x:v>0.13258206616705603</x:v>
      </x:c>
      <x:c r="G14" s="67" t="n">
        <x:v>0.41025641025641024</x:v>
      </x:c>
      <x:c r="H14" s="92" t="n">
        <x:v>0.009303672524481919</x:v>
      </x:c>
      <x:c r="I14" s="89" t="str">
        <x:v>GREEN</x:v>
      </x:c>
    </x:row>
    <x:row r="15">
      <x:c r="A15" s="89" t="str">
        <x:v>2025-11</x:v>
      </x:c>
      <x:c r="B15" s="98" t="n">
        <x:v>1008</x:v>
      </x:c>
      <x:c r="C15" s="67" t="n">
        <x:v>0.19642857142857142</x:v>
      </x:c>
      <x:c r="D15" s="67" t="n">
        <x:v>0.1607102713825557</x:v>
      </x:c>
      <x:c r="E15" s="92" t="n">
        <x:v>0.7141351789499937</x:v>
      </x:c>
      <x:c r="F15" s="92" t="n">
        <x:v>0.14260991818300736</x:v>
      </x:c>
      <x:c r="G15" s="67" t="n">
        <x:v>0.38591269841269843</x:v>
      </x:c>
      <x:c r="H15" s="92" t="n">
        <x:v>0.007735680237999425</x:v>
      </x:c>
      <x:c r="I15" s="89" t="str">
        <x:v>GREEN</x:v>
      </x:c>
    </x:row>
    <x:row r="16">
      <x:c r="A16" s="90" t="str">
        <x:v>2025-12</x:v>
      </x:c>
      <x:c r="B16" s="99" t="n">
        <x:v>1051</x:v>
      </x:c>
      <x:c r="C16" s="68" t="n">
        <x:v>0.18268315889628925</x:v>
      </x:c>
      <x:c r="D16" s="68" t="n">
        <x:v>0.1603689172211985</x:v>
      </x:c>
      <x:c r="E16" s="93" t="n">
        <x:v>0.7154940337601862</x:v>
      </x:c>
      <x:c r="F16" s="93" t="n">
        <x:v>0.13402791859821012</x:v>
      </x:c>
      <x:c r="G16" s="68" t="n">
        <x:v>0.4043767840152236</x:v>
      </x:c>
      <x:c r="H16" s="93" t="n">
        <x:v>0.007018676024082666</x:v>
      </x:c>
      <x:c r="I16" s="90" t="str">
        <x:v>GREEN</x:v>
      </x:c>
    </x:row>
  </x:sheetData>
  <x:mergeCells>
    <x:mergeCell ref="A1:I1"/>
    <x:mergeCell ref="A2:I2"/>
  </x:mergeCells>
  <x:conditionalFormatting sqref="I5:I16">
    <x:cfRule type="containsText" dxfId="4" priority="1" operator="containsText" text="RED"/>
    <x:cfRule type="containsText" dxfId="5" priority="2" operator="containsText" text="AMBER"/>
    <x:cfRule type="containsText" dxfId="6" priority="3" operator="containsText" text="GREEN"/>
  </x:conditionalFormatting>
  <x:pageMargins left="0.7" right="0.7" top="0.75" bottom="0.75" header="0.3" footer="0.3"/>
  <x:drawing xmlns:r="http://schemas.openxmlformats.org/officeDocument/2006/relationships" r:id="R6cb2e009c08d458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22" hidden="0" customWidth="1"/>
    <x:col min="8" max="8" width="13" hidden="0" customWidth="1"/>
    <x:col min="9" max="9" width="13" hidden="0" customWidth="1"/>
  </x:cols>
  <x:sheetData>
    <x:row r="1" ht="34" customHeight="1">
      <x:c r="A1" s="22" t="str">
        <x:v>Fairness and allocation review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25" t="str">
        <x:v>Protected attributes are excluded from training and scoring. Metrics are diagnostic and do not establish legal fairness.</x:v>
      </x:c>
      <x:c r="B2" s="25"/>
      <x:c r="C2" s="25"/>
      <x:c r="D2" s="25"/>
      <x:c r="E2" s="25"/>
      <x:c r="F2" s="25"/>
      <x:c r="G2" s="25"/>
      <x:c r="H2" s="25"/>
      <x:c r="I2" s="25"/>
    </x:row>
    <x:row r="4" ht="28" customHeight="1">
      <x:c r="A4" s="34" t="str">
        <x:v>Attribute</x:v>
      </x:c>
      <x:c r="B4" s="35" t="str">
        <x:v>Group</x:v>
      </x:c>
      <x:c r="C4" s="35" t="str">
        <x:v>Applications</x:v>
      </x:c>
      <x:c r="D4" s="35" t="str">
        <x:v>Observed DR</x:v>
      </x:c>
      <x:c r="E4" s="35" t="str">
        <x:v>Average PD</x:v>
      </x:c>
      <x:c r="F4" s="35" t="str">
        <x:v>Approval Rate</x:v>
      </x:c>
      <x:c r="G4" s="35" t="str">
        <x:v>Good Applicant Approval</x:v>
      </x:c>
      <x:c r="H4" s="35" t="str">
        <x:v>ROC AUC</x:v>
      </x:c>
      <x:c r="I4" s="36" t="str">
        <x:v>Brier</x:v>
      </x:c>
    </x:row>
    <x:row r="5">
      <x:c r="A5" s="88" t="str">
        <x:v>gender</x:v>
      </x:c>
      <x:c r="B5" s="88" t="str">
        <x:v>Female</x:v>
      </x:c>
      <x:c r="C5" s="97" t="n">
        <x:v>5991</x:v>
      </x:c>
      <x:c r="D5" s="66" t="n">
        <x:v>0.1916207644800534</x:v>
      </x:c>
      <x:c r="E5" s="66" t="n">
        <x:v>0.16225557125762233</x:v>
      </x:c>
      <x:c r="F5" s="66" t="n">
        <x:v>0.4084460023368386</x:v>
      </x:c>
      <x:c r="G5" s="66" t="n">
        <x:v>0.46417509807970264</x:v>
      </x:c>
      <x:c r="H5" s="91" t="n">
        <x:v>0.7296734177925538</x:v>
      </x:c>
      <x:c r="I5" s="91" t="n">
        <x:v>0.1379200332620904</x:v>
      </x:c>
    </x:row>
    <x:row r="6">
      <x:c r="A6" s="89" t="str">
        <x:v>gender</x:v>
      </x:c>
      <x:c r="B6" s="89" t="str">
        <x:v>Male</x:v>
      </x:c>
      <x:c r="C6" s="98" t="n">
        <x:v>6074</x:v>
      </x:c>
      <x:c r="D6" s="67" t="n">
        <x:v>0.18505103720777083</x:v>
      </x:c>
      <x:c r="E6" s="67" t="n">
        <x:v>0.1548793094833202</x:v>
      </x:c>
      <x:c r="F6" s="67" t="n">
        <x:v>0.42459664142245634</x:v>
      </x:c>
      <x:c r="G6" s="67" t="n">
        <x:v>0.4812121212121212</x:v>
      </x:c>
      <x:c r="H6" s="92" t="n">
        <x:v>0.7454189582659333</x:v>
      </x:c>
      <x:c r="I6" s="92" t="n">
        <x:v>0.13105028778491032</x:v>
      </x:c>
    </x:row>
    <x:row r="7">
      <x:c r="A7" s="89" t="str">
        <x:v>age_band</x:v>
      </x:c>
      <x:c r="B7" s="89" t="str">
        <x:v>21-29</x:v>
      </x:c>
      <x:c r="C7" s="98" t="n">
        <x:v>1814</x:v>
      </x:c>
      <x:c r="D7" s="67" t="n">
        <x:v>0.23098125689084895</x:v>
      </x:c>
      <x:c r="E7" s="67" t="n">
        <x:v>0.1993928820785788</x:v>
      </x:c>
      <x:c r="F7" s="67" t="n">
        <x:v>0.2585446527012128</x:v>
      </x:c>
      <x:c r="G7" s="67" t="n">
        <x:v>0.3039426523297491</x:v>
      </x:c>
      <x:c r="H7" s="92" t="n">
        <x:v>0.7156773680293582</x:v>
      </x:c>
      <x:c r="I7" s="92" t="n">
        <x:v>0.15700052904886358</x:v>
      </x:c>
    </x:row>
    <x:row r="8">
      <x:c r="A8" s="89" t="str">
        <x:v>age_band</x:v>
      </x:c>
      <x:c r="B8" s="89" t="str">
        <x:v>30-39</x:v>
      </x:c>
      <x:c r="C8" s="98" t="n">
        <x:v>3228</x:v>
      </x:c>
      <x:c r="D8" s="67" t="n">
        <x:v>0.2057001239157373</x:v>
      </x:c>
      <x:c r="E8" s="67" t="n">
        <x:v>0.17639679435986427</x:v>
      </x:c>
      <x:c r="F8" s="67" t="n">
        <x:v>0.3506815365551425</x:v>
      </x:c>
      <x:c r="G8" s="67" t="n">
        <x:v>0.40522620904836193</x:v>
      </x:c>
      <x:c r="H8" s="92" t="n">
        <x:v>0.7356839604909498</x:v>
      </x:c>
      <x:c r="I8" s="92" t="n">
        <x:v>0.14364993580500116</x:v>
      </x:c>
    </x:row>
    <x:row r="9">
      <x:c r="A9" s="89" t="str">
        <x:v>age_band</x:v>
      </x:c>
      <x:c r="B9" s="89" t="str">
        <x:v>40-49</x:v>
      </x:c>
      <x:c r="C9" s="98" t="n">
        <x:v>3768</x:v>
      </x:c>
      <x:c r="D9" s="67" t="n">
        <x:v>0.18259023354564755</x:v>
      </x:c>
      <x:c r="E9" s="67" t="n">
        <x:v>0.15417354260701385</x:v>
      </x:c>
      <x:c r="F9" s="67" t="n">
        <x:v>0.4312632696390658</x:v>
      </x:c>
      <x:c r="G9" s="67" t="n">
        <x:v>0.487012987012987</x:v>
      </x:c>
      <x:c r="H9" s="92" t="n">
        <x:v>0.7403994261552401</x:v>
      </x:c>
      <x:c r="I9" s="92" t="n">
        <x:v>0.13040527915099345</x:v>
      </x:c>
    </x:row>
    <x:row r="10">
      <x:c r="A10" s="89" t="str">
        <x:v>age_band</x:v>
      </x:c>
      <x:c r="B10" s="89" t="str">
        <x:v>50-59</x:v>
      </x:c>
      <x:c r="C10" s="98" t="n">
        <x:v>2355</x:v>
      </x:c>
      <x:c r="D10" s="67" t="n">
        <x:v>0.1532908704883227</x:v>
      </x:c>
      <x:c r="E10" s="67" t="n">
        <x:v>0.13036077146639116</x:v>
      </x:c>
      <x:c r="F10" s="67" t="n">
        <x:v>0.5252653927813163</x:v>
      </x:c>
      <x:c r="G10" s="67" t="n">
        <x:v>0.5772316950852557</x:v>
      </x:c>
      <x:c r="H10" s="92" t="n">
        <x:v>0.7386939210984754</x:v>
      </x:c>
      <x:c r="I10" s="92" t="n">
        <x:v>0.1161824235976252</x:v>
      </x:c>
    </x:row>
    <x:row r="11">
      <x:c r="A11" s="90" t="str">
        <x:v>age_band</x:v>
      </x:c>
      <x:c r="B11" s="90" t="str">
        <x:v>60-74</x:v>
      </x:c>
      <x:c r="C11" s="99" t="n">
        <x:v>900</x:v>
      </x:c>
      <x:c r="D11" s="68" t="n">
        <x:v>0.15555555555555556</x:v>
      </x:c>
      <x:c r="E11" s="68" t="n">
        <x:v>0.10419665286148772</x:v>
      </x:c>
      <x:c r="F11" s="68" t="n">
        <x:v>0.6255555555555555</x:v>
      </x:c>
      <x:c r="G11" s="68" t="n">
        <x:v>0.6789473684210526</x:v>
      </x:c>
      <x:c r="H11" s="93" t="n">
        <x:v>0.7322086466165414</x:v>
      </x:c>
      <x:c r="I11" s="93" t="n">
        <x:v>0.12088968376910637</x:v>
      </x:c>
    </x:row>
    <x:row r="14">
      <x:c r="A14" s="19" t="str">
        <x:v>Disparity summary and governance disposition</x:v>
      </x:c>
      <x:c r="B14" s="19"/>
      <x:c r="C14" s="19"/>
      <x:c r="D14" s="19"/>
      <x:c r="E14" s="19"/>
      <x:c r="F14" s="19"/>
      <x:c r="G14" s="19"/>
      <x:c r="H14" s="19"/>
      <x:c r="I14" s="19"/>
    </x:row>
    <x:row r="15" ht="28" customHeight="1">
      <x:c r="A15" s="34" t="str">
        <x:v>Attribute</x:v>
      </x:c>
      <x:c r="B15" s="35" t="str">
        <x:v>DP Difference</x:v>
      </x:c>
      <x:c r="C15" s="35" t="str">
        <x:v>EO Difference</x:v>
      </x:c>
      <x:c r="D15" s="35" t="str">
        <x:v>Diagnostic Status</x:v>
      </x:c>
      <x:c r="E15" s="36" t="str">
        <x:v>Interpretation</x:v>
      </x:c>
    </x:row>
    <x:row r="16">
      <x:c r="A16" s="13" t="str">
        <x:v>gender</x:v>
      </x:c>
      <x:c r="B16" s="66" t="n">
        <x:v>0.016150639085617757</x:v>
      </x:c>
      <x:c r="C16" s="66" t="n">
        <x:v>0.01703702313241856</x:v>
      </x:c>
      <x:c r="D16" s="13" t="str">
        <x:v>NO_MATERIAL_SIGNAL_AT_10PP_TRIAGE_LEVEL</x:v>
      </x:c>
      <x:c r="E16" s="85" t="str">
        <x:v>The 10 percentage-point level is an internal triage signal, not a legal fairness standard. Legal review, causal analysis and stakeholder governance remain mandatory.</x:v>
      </x:c>
    </x:row>
    <x:row r="17">
      <x:c r="A17" s="15" t="str">
        <x:v>age_band</x:v>
      </x:c>
      <x:c r="B17" s="68" t="n">
        <x:v>0.36701090285434274</x:v>
      </x:c>
      <x:c r="C17" s="68" t="n">
        <x:v>0.37500471609130354</x:v>
      </x:c>
      <x:c r="D17" s="15" t="str">
        <x:v>GOVERNANCE_REVIEW_REQUIRED</x:v>
      </x:c>
      <x:c r="E17" s="87" t="str">
        <x:v>The 10 percentage-point level is an internal triage signal, not a legal fairness standard. Legal review, causal analysis and stakeholder governance remain mandatory.</x:v>
      </x:c>
    </x:row>
  </x:sheetData>
  <x:mergeCells>
    <x:mergeCell ref="A1:I1"/>
    <x:mergeCell ref="A2:I2"/>
    <x:mergeCell ref="A14:I14"/>
  </x:mergeCells>
  <x:conditionalFormatting sqref="D16:D17">
    <x:cfRule type="containsText" dxfId="7" priority="1" operator="containsText" text="REVIEW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5" hidden="0" customWidth="1"/>
    <x:col min="4" max="4" width="14" hidden="0" customWidth="1"/>
  </x:cols>
  <x:sheetData>
    <x:row r="1" ht="34" customHeight="1">
      <x:c r="A1" s="22" t="str">
        <x:v>Global Linear SHAP drivers</x:v>
      </x:c>
      <x:c r="B1" s="22"/>
      <x:c r="C1" s="22"/>
      <x:c r="D1" s="22"/>
    </x:row>
    <x:row r="2" ht="34" customHeight="1">
      <x:c r="A2" s="25" t="str">
        <x:v>Exact additive contributions in log-odds under the feature-independence assumption. Explanations are non-causal.</x:v>
      </x:c>
      <x:c r="B2" s="25"/>
      <x:c r="C2" s="25"/>
      <x:c r="D2" s="25"/>
    </x:row>
    <x:row r="4" ht="28" customHeight="1">
      <x:c r="A4" s="34" t="str">
        <x:v>Feature</x:v>
      </x:c>
      <x:c r="B4" s="35" t="str">
        <x:v>Mean |SHAP|</x:v>
      </x:c>
      <x:c r="C4" s="35" t="str">
        <x:v>Mean SHAP</x:v>
      </x:c>
      <x:c r="D4" s="36" t="str">
        <x:v>Coefficient</x:v>
      </x:c>
    </x:row>
    <x:row r="5">
      <x:c r="A5" s="88" t="str">
        <x:v>bureau_score</x:v>
      </x:c>
      <x:c r="B5" s="91" t="n">
        <x:v>0.30609801993793123</x:v>
      </x:c>
      <x:c r="C5" s="91" t="n">
        <x:v>-0.005537703643697381</x:v>
      </x:c>
      <x:c r="D5" s="91" t="n">
        <x:v>-0.38650407725447794</x:v>
      </x:c>
    </x:row>
    <x:row r="6">
      <x:c r="A6" s="89" t="str">
        <x:v>debt_to_income</x:v>
      </x:c>
      <x:c r="B6" s="92" t="n">
        <x:v>0.23223165238680224</x:v>
      </x:c>
      <x:c r="C6" s="92" t="n">
        <x:v>0.0009328100978229642</x:v>
      </x:c>
      <x:c r="D6" s="92" t="n">
        <x:v>0.28824920497902984</x:v>
      </x:c>
    </x:row>
    <x:row r="7">
      <x:c r="A7" s="89" t="str">
        <x:v>revolving_utilization</x:v>
      </x:c>
      <x:c r="B7" s="92" t="n">
        <x:v>0.21110755205991966</x:v>
      </x:c>
      <x:c r="C7" s="92" t="n">
        <x:v>-0.0013151284142888175</x:v>
      </x:c>
      <x:c r="D7" s="92" t="n">
        <x:v>0.2568917198850436</x:v>
      </x:c>
    </x:row>
    <x:row r="8">
      <x:c r="A8" s="89" t="str">
        <x:v>delinquencies_12m</x:v>
      </x:c>
      <x:c r="B8" s="92" t="n">
        <x:v>0.20773226430485925</x:v>
      </x:c>
      <x:c r="C8" s="92" t="n">
        <x:v>-0.0004945820727860923</x:v>
      </x:c>
      <x:c r="D8" s="92" t="n">
        <x:v>0.252554866954128</x:v>
      </x:c>
    </x:row>
    <x:row r="9">
      <x:c r="A9" s="89" t="str">
        <x:v>credit_history_months</x:v>
      </x:c>
      <x:c r="B9" s="92" t="n">
        <x:v>0.16858042188189815</x:v>
      </x:c>
      <x:c r="C9" s="92" t="n">
        <x:v>0.000029206742089918244</x:v>
      </x:c>
      <x:c r="D9" s="92" t="n">
        <x:v>-0.2068856757850513</x:v>
      </x:c>
    </x:row>
    <x:row r="10">
      <x:c r="A10" s="89" t="str">
        <x:v>income_verified = Verified</x:v>
      </x:c>
      <x:c r="B10" s="92" t="n">
        <x:v>0.13067278546258412</x:v>
      </x:c>
      <x:c r="C10" s="92" t="n">
        <x:v>0.0002473529971782314</x:v>
      </x:c>
      <x:c r="D10" s="92" t="n">
        <x:v>-0.4833988106603111</x:v>
      </x:c>
    </x:row>
    <x:row r="11">
      <x:c r="A11" s="89" t="str">
        <x:v>delinquencies_36m</x:v>
      </x:c>
      <x:c r="B11" s="92" t="n">
        <x:v>0.12636487849250155</x:v>
      </x:c>
      <x:c r="C11" s="92" t="n">
        <x:v>-0.003060441474222627</x:v>
      </x:c>
      <x:c r="D11" s="92" t="n">
        <x:v>0.15886882117346388</x:v>
      </x:c>
    </x:row>
    <x:row r="12">
      <x:c r="A12" s="89" t="str">
        <x:v>channel = Web</x:v>
      </x:c>
      <x:c r="B12" s="92" t="n">
        <x:v>0.10130551493008833</x:v>
      </x:c>
      <x:c r="C12" s="92" t="n">
        <x:v>0.0007456407636655999</x:v>
      </x:c>
      <x:c r="D12" s="92" t="n">
        <x:v>-0.24180979754340076</x:v>
      </x:c>
    </x:row>
    <x:row r="13">
      <x:c r="A13" s="89" t="str">
        <x:v>employment_type = Salaried</x:v>
      </x:c>
      <x:c r="B13" s="92" t="n">
        <x:v>0.10002500122027407</x:v>
      </x:c>
      <x:c r="C13" s="92" t="n">
        <x:v>-0.00028653295974445496</x:v>
      </x:c>
      <x:c r="D13" s="92" t="n">
        <x:v>-0.20005024033443086</x:v>
      </x:c>
    </x:row>
    <x:row r="14">
      <x:c r="A14" s="89" t="str">
        <x:v>housing_status = Rent</x:v>
      </x:c>
      <x:c r="B14" s="92" t="n">
        <x:v>0.09368997941623518</x:v>
      </x:c>
      <x:c r="C14" s="92" t="n">
        <x:v>-0.0010323945666318981</x:v>
      </x:c>
      <x:c r="D14" s="92" t="n">
        <x:v>-0.19849540281818376</x:v>
      </x:c>
    </x:row>
    <x:row r="15">
      <x:c r="A15" s="89" t="str">
        <x:v>inquiries_6m</x:v>
      </x:c>
      <x:c r="B15" s="92" t="n">
        <x:v>0.09185608081259594</x:v>
      </x:c>
      <x:c r="C15" s="92" t="n">
        <x:v>-0.00030199541587841314</x:v>
      </x:c>
      <x:c r="D15" s="92" t="n">
        <x:v>0.12410184716278647</x:v>
      </x:c>
    </x:row>
    <x:row r="16">
      <x:c r="A16" s="89" t="str">
        <x:v>purpose = Home improvement</x:v>
      </x:c>
      <x:c r="B16" s="92" t="n">
        <x:v>0.08947687424156402</x:v>
      </x:c>
      <x:c r="C16" s="92" t="n">
        <x:v>-0.00035807997527921527</x:v>
      </x:c>
      <x:c r="D16" s="92" t="n">
        <x:v>-0.2802866319584998</x:v>
      </x:c>
    </x:row>
    <x:row r="17">
      <x:c r="A17" s="89" t="str">
        <x:v>channel = Mobile</x:v>
      </x:c>
      <x:c r="B17" s="92" t="n">
        <x:v>0.08560625144927092</x:v>
      </x:c>
      <x:c r="C17" s="92" t="n">
        <x:v>-0.0006849519824148864</x:v>
      </x:c>
      <x:c r="D17" s="92" t="n">
        <x:v>-0.18541603341683124</x:v>
      </x:c>
    </x:row>
    <x:row r="18">
      <x:c r="A18" s="89" t="str">
        <x:v>employment_type = Public sector</x:v>
      </x:c>
      <x:c r="B18" s="92" t="n">
        <x:v>0.08153834786653393</x:v>
      </x:c>
      <x:c r="C18" s="92" t="n">
        <x:v>-0.0010905808236522378</x:v>
      </x:c>
      <x:c r="D18" s="92" t="n">
        <x:v>-0.30109829734967686</x:v>
      </x:c>
    </x:row>
    <x:row r="19">
      <x:c r="A19" s="89" t="str">
        <x:v>channel = Branch</x:v>
      </x:c>
      <x:c r="B19" s="92" t="n">
        <x:v>0.07905149585294313</x:v>
      </x:c>
      <x:c r="C19" s="92" t="n">
        <x:v>-0.0003252901504869924</x:v>
      </x:c>
      <x:c r="D19" s="92" t="n">
        <x:v>-0.22390339456306654</x:v>
      </x:c>
    </x:row>
    <x:row r="20">
      <x:c r="A20" s="89" t="str">
        <x:v>housing_status = Mortgage</x:v>
      </x:c>
      <x:c r="B20" s="92" t="n">
        <x:v>0.07390429301277651</x:v>
      </x:c>
      <x:c r="C20" s="92" t="n">
        <x:v>0.0004407847082381357</x:v>
      </x:c>
      <x:c r="D20" s="92" t="n">
        <x:v>-0.17971025001448204</x:v>
      </x:c>
    </x:row>
    <x:row r="21">
      <x:c r="A21" s="89" t="str">
        <x:v>region = Marmara</x:v>
      </x:c>
      <x:c r="B21" s="92" t="n">
        <x:v>0.06009213106212386</x:v>
      </x:c>
      <x:c r="C21" s="92" t="n">
        <x:v>-0.0001484191343802127</x:v>
      </x:c>
      <x:c r="D21" s="92" t="n">
        <x:v>-0.1346479551973057</x:v>
      </x:c>
    </x:row>
    <x:row r="22">
      <x:c r="A22" s="89" t="str">
        <x:v>housing_status = Owner</x:v>
      </x:c>
      <x:c r="B22" s="92" t="n">
        <x:v>0.05679414293505919</x:v>
      </x:c>
      <x:c r="C22" s="92" t="n">
        <x:v>0.000658353374504083</x:v>
      </x:c>
      <x:c r="D22" s="92" t="n">
        <x:v>-0.15673325681968434</x:v>
      </x:c>
    </x:row>
    <x:row r="23">
      <x:c r="A23" s="89" t="str">
        <x:v>income_verified = Unverified</x:v>
      </x:c>
      <x:c r="B23" s="92" t="n">
        <x:v>0.05589717529897696</x:v>
      </x:c>
      <x:c r="C23" s="92" t="n">
        <x:v>-0.00010580882465337127</x:v>
      </x:c>
      <x:c r="D23" s="92" t="n">
        <x:v>-0.2067808378243797</x:v>
      </x:c>
    </x:row>
    <x:row r="24">
      <x:c r="A24" s="90" t="str">
        <x:v>employment_type = Self-employed</x:v>
      </x:c>
      <x:c r="B24" s="93" t="n">
        <x:v>0.05577026472096585</x:v>
      </x:c>
      <x:c r="C24" s="93" t="n">
        <x:v>0.0006701552622843247</x:v>
      </x:c>
      <x:c r="D24" s="93" t="n">
        <x:v>-0.19712954794434065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4f0f63f730b3441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7" hidden="0" customWidth="1"/>
    <x:col min="14" max="14" width="16" hidden="0" customWidth="1"/>
    <x:col min="15" max="15" width="16" hidden="0" customWidth="1"/>
  </x:cols>
  <x:sheetData>
    <x:row r="1" ht="34" customHeight="1">
      <x:c r="A1" s="22" t="str">
        <x:v>Scored application sample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</x:row>
    <x:row r="2" ht="34" customHeight="1">
      <x:c r="A2" s="25" t="str">
        <x:v>Reviewer-friendly 250-row sample. Full synthetic and scored portfolios are committed as compressed CSV files.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</x:row>
    <x:row r="4" ht="28" customHeight="1">
      <x:c r="A4" s="34" t="str">
        <x:v>Application Id</x:v>
      </x:c>
      <x:c r="B4" s="35" t="str">
        <x:v>Application Date</x:v>
      </x:c>
      <x:c r="C4" s="35" t="str">
        <x:v>Channel</x:v>
      </x:c>
      <x:c r="D4" s="35" t="str">
        <x:v>Region</x:v>
      </x:c>
      <x:c r="E4" s="35" t="str">
        <x:v>Employment Type</x:v>
      </x:c>
      <x:c r="F4" s="35" t="str">
        <x:v>Monthly Income</x:v>
      </x:c>
      <x:c r="G4" s="35" t="str">
        <x:v>Requested Amount</x:v>
      </x:c>
      <x:c r="H4" s="35" t="str">
        <x:v>Debt To Income</x:v>
      </x:c>
      <x:c r="I4" s="35" t="str">
        <x:v>Bureau Score</x:v>
      </x:c>
      <x:c r="J4" s="35" t="str">
        <x:v>Predicted Pd</x:v>
      </x:c>
      <x:c r="K4" s="35" t="str">
        <x:v>Credit Score</x:v>
      </x:c>
      <x:c r="L4" s="35" t="str">
        <x:v>Risk Band</x:v>
      </x:c>
      <x:c r="M4" s="35" t="str">
        <x:v>Recommendation</x:v>
      </x:c>
      <x:c r="N4" s="35" t="str">
        <x:v>Expected Loss</x:v>
      </x:c>
      <x:c r="O4" s="36" t="str">
        <x:v>Default 12m</x:v>
      </x:c>
    </x:row>
    <x:row r="5">
      <x:c r="A5" s="88" t="str">
        <x:v>APP-0002419</x:v>
      </x:c>
      <x:c r="B5" s="88" t="str">
        <x:v>2025-01-01</x:v>
      </x:c>
      <x:c r="C5" s="88" t="str">
        <x:v>Web</x:v>
      </x:c>
      <x:c r="D5" s="88" t="str">
        <x:v>Central Anatolia</x:v>
      </x:c>
      <x:c r="E5" s="88" t="str">
        <x:v>Contract</x:v>
      </x:c>
      <x:c r="F5" s="100" t="n">
        <x:v>24302.6</x:v>
      </x:c>
      <x:c r="G5" s="100" t="n">
        <x:v>13666.26</x:v>
      </x:c>
      <x:c r="H5" s="66" t="n">
        <x:v>0.316</x:v>
      </x:c>
      <x:c r="I5" s="72" t="n">
        <x:v>619</x:v>
      </x:c>
      <x:c r="J5" s="66" t="n">
        <x:v>0.2948587227019769</x:v>
      </x:c>
      <x:c r="K5" s="72" t="n">
        <x:v>554</x:v>
      </x:c>
      <x:c r="L5" s="88" t="str">
        <x:v>F</x:v>
      </x:c>
      <x:c r="M5" s="88" t="str">
        <x:v>DECLINE_RECOMMENDATION</x:v>
      </x:c>
      <x:c r="N5" s="100" t="n">
        <x:v>1813.3271854709035</x:v>
      </x:c>
      <x:c r="O5" s="72" t="n">
        <x:v>0</x:v>
      </x:c>
    </x:row>
    <x:row r="6">
      <x:c r="A6" s="89" t="str">
        <x:v>APP-0004263</x:v>
      </x:c>
      <x:c r="B6" s="89" t="str">
        <x:v>2025-01-01</x:v>
      </x:c>
      <x:c r="C6" s="89" t="str">
        <x:v>Mobile</x:v>
      </x:c>
      <x:c r="D6" s="89" t="str">
        <x:v>Black Sea</x:v>
      </x:c>
      <x:c r="E6" s="89" t="str">
        <x:v>Public sector</x:v>
      </x:c>
      <x:c r="F6" s="101" t="n">
        <x:v>29252.94</x:v>
      </x:c>
      <x:c r="G6" s="101" t="n">
        <x:v>33588.42</x:v>
      </x:c>
      <x:c r="H6" s="67" t="n">
        <x:v>0.30682</x:v>
      </x:c>
      <x:c r="I6" s="73" t="n">
        <x:v>561</x:v>
      </x:c>
      <x:c r="J6" s="67" t="n">
        <x:v>0.3136206591291993</x:v>
      </x:c>
      <x:c r="K6" s="73" t="n">
        <x:v>548</x:v>
      </x:c>
      <x:c r="L6" s="89" t="str">
        <x:v>F</x:v>
      </x:c>
      <x:c r="M6" s="89" t="str">
        <x:v>DECLINE_RECOMMENDATION</x:v>
      </x:c>
      <x:c r="N6" s="101" t="n">
        <x:v>4740.310088778771</x:v>
      </x:c>
      <x:c r="O6" s="73" t="n">
        <x:v>0</x:v>
      </x:c>
    </x:row>
    <x:row r="7">
      <x:c r="A7" s="89" t="str">
        <x:v>APP-0004504</x:v>
      </x:c>
      <x:c r="B7" s="89" t="str">
        <x:v>2025-01-01</x:v>
      </x:c>
      <x:c r="C7" s="89" t="str">
        <x:v>Web</x:v>
      </x:c>
      <x:c r="D7" s="89" t="str">
        <x:v>Marmara</x:v>
      </x:c>
      <x:c r="E7" s="89" t="str">
        <x:v>Self-employed</x:v>
      </x:c>
      <x:c r="F7" s="101" t="n">
        <x:v>34312.32</x:v>
      </x:c>
      <x:c r="G7" s="101" t="n">
        <x:v>21408.59</x:v>
      </x:c>
      <x:c r="H7" s="67" t="n">
        <x:v>0.39285</x:v>
      </x:c>
      <x:c r="I7" s="73" t="n">
        <x:v>613</x:v>
      </x:c>
      <x:c r="J7" s="67" t="n">
        <x:v>0.3547777409110377</x:v>
      </x:c>
      <x:c r="K7" s="73" t="n">
        <x:v>535</x:v>
      </x:c>
      <x:c r="L7" s="89" t="str">
        <x:v>F</x:v>
      </x:c>
      <x:c r="M7" s="89" t="str">
        <x:v>DECLINE_RECOMMENDATION</x:v>
      </x:c>
      <x:c r="N7" s="101" t="n">
        <x:v>3417.881038330785</x:v>
      </x:c>
      <x:c r="O7" s="73" t="n">
        <x:v>0</x:v>
      </x:c>
    </x:row>
    <x:row r="8">
      <x:c r="A8" s="89" t="str">
        <x:v>APP-0006780</x:v>
      </x:c>
      <x:c r="B8" s="89" t="str">
        <x:v>2025-01-01</x:v>
      </x:c>
      <x:c r="C8" s="89" t="str">
        <x:v>Web</x:v>
      </x:c>
      <x:c r="D8" s="89" t="str">
        <x:v>Mediterranean</x:v>
      </x:c>
      <x:c r="E8" s="89" t="str">
        <x:v>Public sector</x:v>
      </x:c>
      <x:c r="F8" s="101" t="n">
        <x:v>22751.35</x:v>
      </x:c>
      <x:c r="G8" s="101" t="n">
        <x:v>13986.7</x:v>
      </x:c>
      <x:c r="H8" s="67" t="n">
        <x:v>0.49561</x:v>
      </x:c>
      <x:c r="I8" s="73" t="n">
        <x:v>673</x:v>
      </x:c>
      <x:c r="J8" s="67" t="n">
        <x:v>0.23365072031546943</x:v>
      </x:c>
      <x:c r="K8" s="73" t="n">
        <x:v>577</x:v>
      </x:c>
      <x:c r="L8" s="89" t="str">
        <x:v>F</x:v>
      </x:c>
      <x:c r="M8" s="89" t="str">
        <x:v>DECLINE_RECOMMENDATION</x:v>
      </x:c>
      <x:c r="N8" s="101" t="n">
        <x:v>1470.6011384263695</x:v>
      </x:c>
      <x:c r="O8" s="73" t="n">
        <x:v>0</x:v>
      </x:c>
    </x:row>
    <x:row r="9">
      <x:c r="A9" s="89" t="str">
        <x:v>APP-0007107</x:v>
      </x:c>
      <x:c r="B9" s="89" t="str">
        <x:v>2025-01-01</x:v>
      </x:c>
      <x:c r="C9" s="89" t="str">
        <x:v>Branch</x:v>
      </x:c>
      <x:c r="D9" s="89" t="str">
        <x:v>Central Anatolia</x:v>
      </x:c>
      <x:c r="E9" s="89" t="str">
        <x:v>Self-employed</x:v>
      </x:c>
      <x:c r="F9" s="101" t="n">
        <x:v>37082.29</x:v>
      </x:c>
      <x:c r="G9" s="101" t="n">
        <x:v>46019.11</x:v>
      </x:c>
      <x:c r="H9" s="67" t="n">
        <x:v>0.10584</x:v>
      </x:c>
      <x:c r="I9" s="73" t="n">
        <x:v>658</x:v>
      </x:c>
      <x:c r="J9" s="67" t="n">
        <x:v>0.10928216876128627</x:v>
      </x:c>
      <x:c r="K9" s="73" t="n">
        <x:v>643</x:v>
      </x:c>
      <x:c r="L9" s="89" t="str">
        <x:v>D</x:v>
      </x:c>
      <x:c r="M9" s="89" t="str">
        <x:v>REFER</x:v>
      </x:c>
      <x:c r="N9" s="101" t="n">
        <x:v>2263.0806653688887</x:v>
      </x:c>
      <x:c r="O9" s="73" t="n">
        <x:v>0</x:v>
      </x:c>
    </x:row>
    <x:row r="10">
      <x:c r="A10" s="89" t="str">
        <x:v>APP-0007929</x:v>
      </x:c>
      <x:c r="B10" s="89" t="str">
        <x:v>2025-01-01</x:v>
      </x:c>
      <x:c r="C10" s="89" t="str">
        <x:v>Web</x:v>
      </x:c>
      <x:c r="D10" s="89" t="str">
        <x:v>Aegean</x:v>
      </x:c>
      <x:c r="E10" s="89" t="str">
        <x:v>Retired</x:v>
      </x:c>
      <x:c r="F10" s="101" t="n">
        <x:v>37505.93</x:v>
      </x:c>
      <x:c r="G10" s="101" t="n">
        <x:v>18043.29</x:v>
      </x:c>
      <x:c r="H10" s="67" t="n">
        <x:v>0.27229</x:v>
      </x:c>
      <x:c r="I10" s="73" t="n">
        <x:v>728</x:v>
      </x:c>
      <x:c r="J10" s="67" t="n">
        <x:v>0.05937755431609998</x:v>
      </x:c>
      <x:c r="K10" s="73" t="n">
        <x:v>691</x:v>
      </x:c>
      <x:c r="L10" s="89" t="str">
        <x:v>B</x:v>
      </x:c>
      <x:c r="M10" s="89" t="str">
        <x:v>APPROVE_RECOMMENDATION</x:v>
      </x:c>
      <x:c r="N10" s="101" t="n">
        <x:v>482.11489440726467</x:v>
      </x:c>
      <x:c r="O10" s="73" t="n">
        <x:v>0</x:v>
      </x:c>
    </x:row>
    <x:row r="11">
      <x:c r="A11" s="89" t="str">
        <x:v>APP-0008524</x:v>
      </x:c>
      <x:c r="B11" s="89" t="str">
        <x:v>2025-01-01</x:v>
      </x:c>
      <x:c r="C11" s="89" t="str">
        <x:v>Mobile</x:v>
      </x:c>
      <x:c r="D11" s="89" t="str">
        <x:v>Central Anatolia</x:v>
      </x:c>
      <x:c r="E11" s="89" t="str">
        <x:v>Self-employed</x:v>
      </x:c>
      <x:c r="F11" s="101" t="n">
        <x:v>88028.6</x:v>
      </x:c>
      <x:c r="G11" s="101" t="n">
        <x:v>44951.83</x:v>
      </x:c>
      <x:c r="H11" s="67" t="n">
        <x:v>0.21636</x:v>
      </x:c>
      <x:c r="I11" s="73" t="n">
        <x:v>649</x:v>
      </x:c>
      <x:c r="J11" s="67" t="n">
        <x:v>0.1113805377004899</x:v>
      </x:c>
      <x:c r="K11" s="73" t="n">
        <x:v>641</x:v>
      </x:c>
      <x:c r="L11" s="89" t="str">
        <x:v>D</x:v>
      </x:c>
      <x:c r="M11" s="89" t="str">
        <x:v>REFER</x:v>
      </x:c>
      <x:c r="N11" s="101" t="n">
        <x:v>2253.041548209456</x:v>
      </x:c>
      <x:c r="O11" s="73" t="n">
        <x:v>0</x:v>
      </x:c>
    </x:row>
    <x:row r="12">
      <x:c r="A12" s="89" t="str">
        <x:v>APP-0009752</x:v>
      </x:c>
      <x:c r="B12" s="89" t="str">
        <x:v>2025-01-01</x:v>
      </x:c>
      <x:c r="C12" s="89" t="str">
        <x:v>Branch</x:v>
      </x:c>
      <x:c r="D12" s="89" t="str">
        <x:v>Aegean</x:v>
      </x:c>
      <x:c r="E12" s="89" t="str">
        <x:v>Salaried</x:v>
      </x:c>
      <x:c r="F12" s="101" t="n">
        <x:v>71292.5</x:v>
      </x:c>
      <x:c r="G12" s="101" t="n">
        <x:v>28768.75</x:v>
      </x:c>
      <x:c r="H12" s="67" t="n">
        <x:v>0.101</x:v>
      </x:c>
      <x:c r="I12" s="73" t="n">
        <x:v>712</x:v>
      </x:c>
      <x:c r="J12" s="67" t="n">
        <x:v>0.06498417490355649</x:v>
      </x:c>
      <x:c r="K12" s="73" t="n">
        <x:v>684</x:v>
      </x:c>
      <x:c r="L12" s="89" t="str">
        <x:v>C</x:v>
      </x:c>
      <x:c r="M12" s="89" t="str">
        <x:v>APPROVE_RECOMMENDATION</x:v>
      </x:c>
      <x:c r="N12" s="101" t="n">
        <x:v>841.2810667905109</x:v>
      </x:c>
      <x:c r="O12" s="73" t="n">
        <x:v>0</x:v>
      </x:c>
    </x:row>
    <x:row r="13">
      <x:c r="A13" s="89" t="str">
        <x:v>APP-0011304</x:v>
      </x:c>
      <x:c r="B13" s="89" t="str">
        <x:v>2025-01-01</x:v>
      </x:c>
      <x:c r="C13" s="89" t="str">
        <x:v>Branch</x:v>
      </x:c>
      <x:c r="D13" s="89" t="str">
        <x:v>Marmara</x:v>
      </x:c>
      <x:c r="E13" s="89" t="str">
        <x:v>Salaried</x:v>
      </x:c>
      <x:c r="F13" s="101" t="n">
        <x:v>124581.51</x:v>
      </x:c>
      <x:c r="G13" s="101" t="n">
        <x:v>48115.49</x:v>
      </x:c>
      <x:c r="H13" s="67" t="n">
        <x:v>0.14474</x:v>
      </x:c>
      <x:c r="I13" s="73" t="n">
        <x:v>732</x:v>
      </x:c>
      <x:c r="J13" s="67" t="n">
        <x:v>0.038039457385960096</x:v>
      </x:c>
      <x:c r="K13" s="73" t="n">
        <x:v>725</x:v>
      </x:c>
      <x:c r="L13" s="89" t="str">
        <x:v>B</x:v>
      </x:c>
      <x:c r="M13" s="89" t="str">
        <x:v>APPROVE_RECOMMENDATION</x:v>
      </x:c>
      <x:c r="N13" s="101" t="n">
        <x:v>823.6292091568151</x:v>
      </x:c>
      <x:c r="O13" s="73" t="n">
        <x:v>0</x:v>
      </x:c>
    </x:row>
    <x:row r="14">
      <x:c r="A14" s="89" t="str">
        <x:v>APP-0011587</x:v>
      </x:c>
      <x:c r="B14" s="89" t="str">
        <x:v>2025-01-01</x:v>
      </x:c>
      <x:c r="C14" s="89" t="str">
        <x:v>Branch</x:v>
      </x:c>
      <x:c r="D14" s="89" t="str">
        <x:v>Mediterranean</x:v>
      </x:c>
      <x:c r="E14" s="89" t="str">
        <x:v>Salaried</x:v>
      </x:c>
      <x:c r="F14" s="101" t="n">
        <x:v>100037.6</x:v>
      </x:c>
      <x:c r="G14" s="101" t="n">
        <x:v>41933.88</x:v>
      </x:c>
      <x:c r="H14" s="67" t="n">
        <x:v>0.41701</x:v>
      </x:c>
      <x:c r="I14" s="73" t="n">
        <x:v>630</x:v>
      </x:c>
      <x:c r="J14" s="67" t="n">
        <x:v>0.19009530531146185</x:v>
      </x:c>
      <x:c r="K14" s="73" t="n">
        <x:v>596</x:v>
      </x:c>
      <x:c r="L14" s="89" t="str">
        <x:v>E</x:v>
      </x:c>
      <x:c r="M14" s="89" t="str">
        <x:v>REFER</x:v>
      </x:c>
      <x:c r="N14" s="101" t="n">
        <x:v>3587.1451746723915</x:v>
      </x:c>
      <x:c r="O14" s="73" t="n">
        <x:v>1</x:v>
      </x:c>
    </x:row>
    <x:row r="15">
      <x:c r="A15" s="89" t="str">
        <x:v>APP-0011613</x:v>
      </x:c>
      <x:c r="B15" s="89" t="str">
        <x:v>2025-01-01</x:v>
      </x:c>
      <x:c r="C15" s="89" t="str">
        <x:v>Branch</x:v>
      </x:c>
      <x:c r="D15" s="89" t="str">
        <x:v>Marmara</x:v>
      </x:c>
      <x:c r="E15" s="89" t="str">
        <x:v>Salaried</x:v>
      </x:c>
      <x:c r="F15" s="101" t="n">
        <x:v>29913</x:v>
      </x:c>
      <x:c r="G15" s="101" t="n">
        <x:v>43777.92</x:v>
      </x:c>
      <x:c r="H15" s="67" t="n">
        <x:v>0.11134</x:v>
      </x:c>
      <x:c r="I15" s="73" t="n">
        <x:v>708</x:v>
      </x:c>
      <x:c r="J15" s="67" t="n">
        <x:v>0.07127731762242336</x:v>
      </x:c>
      <x:c r="K15" s="73" t="n">
        <x:v>677</x:v>
      </x:c>
      <x:c r="L15" s="89" t="str">
        <x:v>C</x:v>
      </x:c>
      <x:c r="M15" s="89" t="str">
        <x:v>APPROVE_RECOMMENDATION</x:v>
      </x:c>
      <x:c r="N15" s="101" t="n">
        <x:v>1404.1677189100678</x:v>
      </x:c>
      <x:c r="O15" s="73" t="n">
        <x:v>0</x:v>
      </x:c>
    </x:row>
    <x:row r="16">
      <x:c r="A16" s="89" t="str">
        <x:v>APP-0012577</x:v>
      </x:c>
      <x:c r="B16" s="89" t="str">
        <x:v>2025-01-01</x:v>
      </x:c>
      <x:c r="C16" s="89" t="str">
        <x:v>Branch</x:v>
      </x:c>
      <x:c r="D16" s="89" t="str">
        <x:v>Aegean</x:v>
      </x:c>
      <x:c r="E16" s="89" t="str">
        <x:v>Public sector</x:v>
      </x:c>
      <x:c r="F16" s="101" t="n">
        <x:v>31979.34</x:v>
      </x:c>
      <x:c r="G16" s="101" t="n">
        <x:v>61274.49</x:v>
      </x:c>
      <x:c r="H16" s="67" t="n">
        <x:v>0.19065</x:v>
      </x:c>
      <x:c r="I16" s="73" t="n">
        <x:v>749</x:v>
      </x:c>
      <x:c r="J16" s="67" t="n">
        <x:v>0.030718301890295036</x:v>
      </x:c>
      <x:c r="K16" s="73" t="n">
        <x:v>740</x:v>
      </x:c>
      <x:c r="L16" s="89" t="str">
        <x:v>B</x:v>
      </x:c>
      <x:c r="M16" s="89" t="str">
        <x:v>APPROVE_RECOMMENDATION</x:v>
      </x:c>
      <x:c r="N16" s="101" t="n">
        <x:v>847.011726897239</x:v>
      </x:c>
      <x:c r="O16" s="73" t="n">
        <x:v>0</x:v>
      </x:c>
    </x:row>
    <x:row r="17">
      <x:c r="A17" s="89" t="str">
        <x:v>APP-0012722</x:v>
      </x:c>
      <x:c r="B17" s="89" t="str">
        <x:v>2025-01-01</x:v>
      </x:c>
      <x:c r="C17" s="89" t="str">
        <x:v>Branch</x:v>
      </x:c>
      <x:c r="D17" s="89" t="str">
        <x:v>Aegean</x:v>
      </x:c>
      <x:c r="E17" s="89" t="str">
        <x:v>Salaried</x:v>
      </x:c>
      <x:c r="F17" s="101" t="n">
        <x:v>43771.46</x:v>
      </x:c>
      <x:c r="G17" s="101" t="n">
        <x:v>83914.5</x:v>
      </x:c>
      <x:c r="H17" s="67" t="n">
        <x:v>0.38999</x:v>
      </x:c>
      <x:c r="I17" s="73" t="n">
        <x:v>707</x:v>
      </x:c>
      <x:c r="J17" s="67" t="n">
        <x:v>0.17422019777733488</x:v>
      </x:c>
      <x:c r="K17" s="73" t="n">
        <x:v>604</x:v>
      </x:c>
      <x:c r="L17" s="89" t="str">
        <x:v>E</x:v>
      </x:c>
      <x:c r="M17" s="89" t="str">
        <x:v>REFER</x:v>
      </x:c>
      <x:c r="N17" s="101" t="n">
        <x:v>6578.820353873776</x:v>
      </x:c>
      <x:c r="O17" s="73" t="n">
        <x:v>0</x:v>
      </x:c>
    </x:row>
    <x:row r="18">
      <x:c r="A18" s="89" t="str">
        <x:v>APP-0012811</x:v>
      </x:c>
      <x:c r="B18" s="89" t="str">
        <x:v>2025-01-01</x:v>
      </x:c>
      <x:c r="C18" s="89" t="str">
        <x:v>Branch</x:v>
      </x:c>
      <x:c r="D18" s="89" t="str">
        <x:v>Black Sea</x:v>
      </x:c>
      <x:c r="E18" s="89" t="str">
        <x:v>Salaried</x:v>
      </x:c>
      <x:c r="F18" s="101" t="n">
        <x:v>56802.14</x:v>
      </x:c>
      <x:c r="G18" s="101" t="n">
        <x:v>111421.01</x:v>
      </x:c>
      <x:c r="H18" s="67" t="n">
        <x:v>0.28928</x:v>
      </x:c>
      <x:c r="I18" s="73" t="n">
        <x:v>645</x:v>
      </x:c>
      <x:c r="J18" s="67" t="n">
        <x:v>0.1711238912374371</x:v>
      </x:c>
      <x:c r="K18" s="73" t="n">
        <x:v>605</x:v>
      </x:c>
      <x:c r="L18" s="89" t="str">
        <x:v>E</x:v>
      </x:c>
      <x:c r="M18" s="89" t="str">
        <x:v>REFER</x:v>
      </x:c>
      <x:c r="N18" s="101" t="n">
        <x:v>8580.058558562425</x:v>
      </x:c>
      <x:c r="O18" s="73" t="n">
        <x:v>0</x:v>
      </x:c>
    </x:row>
    <x:row r="19">
      <x:c r="A19" s="89" t="str">
        <x:v>APP-0015661</x:v>
      </x:c>
      <x:c r="B19" s="89" t="str">
        <x:v>2025-01-01</x:v>
      </x:c>
      <x:c r="C19" s="89" t="str">
        <x:v>Partner</x:v>
      </x:c>
      <x:c r="D19" s="89" t="str">
        <x:v>Black Sea</x:v>
      </x:c>
      <x:c r="E19" s="89" t="str">
        <x:v>Salaried</x:v>
      </x:c>
      <x:c r="F19" s="101" t="n">
        <x:v>63054.87</x:v>
      </x:c>
      <x:c r="G19" s="101" t="n">
        <x:v>77974.16</x:v>
      </x:c>
      <x:c r="H19" s="67" t="n">
        <x:v>0.79061</x:v>
      </x:c>
      <x:c r="I19" s="73" t="n">
        <x:v>590</x:v>
      </x:c>
      <x:c r="J19" s="67" t="n">
        <x:v>0.5219547354930099</x:v>
      </x:c>
      <x:c r="K19" s="73" t="n">
        <x:v>485</x:v>
      </x:c>
      <x:c r="L19" s="89" t="str">
        <x:v>F</x:v>
      </x:c>
      <x:c r="M19" s="89" t="str">
        <x:v>DECLINE_RECOMMENDATION</x:v>
      </x:c>
      <x:c r="N19" s="101" t="n">
        <x:v>18314.541926140333</x:v>
      </x:c>
      <x:c r="O19" s="73" t="n">
        <x:v>1</x:v>
      </x:c>
    </x:row>
    <x:row r="20">
      <x:c r="A20" s="89" t="str">
        <x:v>APP-0016575</x:v>
      </x:c>
      <x:c r="B20" s="89" t="str">
        <x:v>2025-01-01</x:v>
      </x:c>
      <x:c r="C20" s="89" t="str">
        <x:v>Branch</x:v>
      </x:c>
      <x:c r="D20" s="89" t="str">
        <x:v>Black Sea</x:v>
      </x:c>
      <x:c r="E20" s="89" t="str">
        <x:v>Retired</x:v>
      </x:c>
      <x:c r="F20" s="101" t="n">
        <x:v>22133.07</x:v>
      </x:c>
      <x:c r="G20" s="101" t="n">
        <x:v>34326</x:v>
      </x:c>
      <x:c r="H20" s="67" t="n">
        <x:v>0.22517</x:v>
      </x:c>
      <x:c r="I20" s="73" t="n">
        <x:v>791</x:v>
      </x:c>
      <x:c r="J20" s="67" t="n">
        <x:v>0.02339938854103125</x:v>
      </x:c>
      <x:c r="K20" s="73" t="n">
        <x:v>761</x:v>
      </x:c>
      <x:c r="L20" s="89" t="str">
        <x:v>A</x:v>
      </x:c>
      <x:c r="M20" s="89" t="str">
        <x:v>APPROVE_RECOMMENDATION</x:v>
      </x:c>
      <x:c r="N20" s="101" t="n">
        <x:v>361.44333497674745</x:v>
      </x:c>
      <x:c r="O20" s="73" t="n">
        <x:v>1</x:v>
      </x:c>
    </x:row>
    <x:row r="21">
      <x:c r="A21" s="89" t="str">
        <x:v>APP-0020158</x:v>
      </x:c>
      <x:c r="B21" s="89" t="str">
        <x:v>2025-01-01</x:v>
      </x:c>
      <x:c r="C21" s="89" t="str">
        <x:v>Mobile</x:v>
      </x:c>
      <x:c r="D21" s="89" t="str">
        <x:v>Mediterranean</x:v>
      </x:c>
      <x:c r="E21" s="89" t="str">
        <x:v>Salaried</x:v>
      </x:c>
      <x:c r="F21" s="101" t="n">
        <x:v>18603.34</x:v>
      </x:c>
      <x:c r="G21" s="101" t="n">
        <x:v>18564.95</x:v>
      </x:c>
      <x:c r="H21" s="67" t="n">
        <x:v>0.207</x:v>
      </x:c>
      <x:c r="I21" s="73" t="n">
        <x:v>689</x:v>
      </x:c>
      <x:c r="J21" s="67" t="n">
        <x:v>0.08258938595060704</x:v>
      </x:c>
      <x:c r="K21" s="73" t="n">
        <x:v>665</x:v>
      </x:c>
      <x:c r="L21" s="89" t="str">
        <x:v>C</x:v>
      </x:c>
      <x:c r="M21" s="89" t="str">
        <x:v>APPROVE_RECOMMENDATION</x:v>
      </x:c>
      <x:c r="N21" s="101" t="n">
        <x:v>689.970519316675</x:v>
      </x:c>
      <x:c r="O21" s="73" t="n">
        <x:v>0</x:v>
      </x:c>
    </x:row>
    <x:row r="22">
      <x:c r="A22" s="89" t="str">
        <x:v>APP-0024516</x:v>
      </x:c>
      <x:c r="B22" s="89" t="str">
        <x:v>2025-01-01</x:v>
      </x:c>
      <x:c r="C22" s="89" t="str">
        <x:v>Partner</x:v>
      </x:c>
      <x:c r="D22" s="89" t="str">
        <x:v>Mediterranean</x:v>
      </x:c>
      <x:c r="E22" s="89" t="str">
        <x:v>Public sector</x:v>
      </x:c>
      <x:c r="F22" s="101" t="n">
        <x:v>58170.54</x:v>
      </x:c>
      <x:c r="G22" s="101" t="n">
        <x:v>67575.09</x:v>
      </x:c>
      <x:c r="H22" s="67" t="n">
        <x:v>0.23681</x:v>
      </x:c>
      <x:c r="I22" s="73" t="n">
        <x:v>641</x:v>
      </x:c>
      <x:c r="J22" s="67" t="n">
        <x:v>0.2815655227164598</x:v>
      </x:c>
      <x:c r="K22" s="73" t="n">
        <x:v>559</x:v>
      </x:c>
      <x:c r="L22" s="89" t="str">
        <x:v>F</x:v>
      </x:c>
      <x:c r="M22" s="89" t="str">
        <x:v>DECLINE_RECOMMENDATION</x:v>
      </x:c>
      <x:c r="N22" s="101" t="n">
        <x:v>8562.066992307817</x:v>
      </x:c>
      <x:c r="O22" s="73" t="n">
        <x:v>0</x:v>
      </x:c>
    </x:row>
    <x:row r="23">
      <x:c r="A23" s="89" t="str">
        <x:v>APP-0025467</x:v>
      </x:c>
      <x:c r="B23" s="89" t="str">
        <x:v>2025-01-01</x:v>
      </x:c>
      <x:c r="C23" s="89" t="str">
        <x:v>Mobile</x:v>
      </x:c>
      <x:c r="D23" s="89" t="str">
        <x:v>Central Anatolia</x:v>
      </x:c>
      <x:c r="E23" s="89" t="str">
        <x:v>Salaried</x:v>
      </x:c>
      <x:c r="F23" s="101" t="n">
        <x:v>23140.64</x:v>
      </x:c>
      <x:c r="G23" s="101" t="n">
        <x:v>28144.37</x:v>
      </x:c>
      <x:c r="H23" s="67" t="n">
        <x:v>0.32202</x:v>
      </x:c>
      <x:c r="I23" s="73" t="n">
        <x:v>742</x:v>
      </x:c>
      <x:c r="J23" s="67" t="n">
        <x:v>0.047596837453033024</x:v>
      </x:c>
      <x:c r="K23" s="73" t="n">
        <x:v>708</x:v>
      </x:c>
      <x:c r="L23" s="89" t="str">
        <x:v>B</x:v>
      </x:c>
      <x:c r="M23" s="89" t="str">
        <x:v>APPROVE_RECOMMENDATION</x:v>
      </x:c>
      <x:c r="N23" s="101" t="n">
        <x:v>602.8123518486086</x:v>
      </x:c>
      <x:c r="O23" s="73" t="n">
        <x:v>0</x:v>
      </x:c>
    </x:row>
    <x:row r="24">
      <x:c r="A24" s="89" t="str">
        <x:v>APP-0027207</x:v>
      </x:c>
      <x:c r="B24" s="89" t="str">
        <x:v>2025-01-01</x:v>
      </x:c>
      <x:c r="C24" s="89" t="str">
        <x:v>Partner</x:v>
      </x:c>
      <x:c r="D24" s="89" t="str">
        <x:v>Central Anatolia</x:v>
      </x:c>
      <x:c r="E24" s="89" t="str">
        <x:v>Public sector</x:v>
      </x:c>
      <x:c r="F24" s="101" t="n">
        <x:v>20940.66</x:v>
      </x:c>
      <x:c r="G24" s="101" t="n">
        <x:v>46247.42</x:v>
      </x:c>
      <x:c r="H24" s="67" t="n">
        <x:v>0.35123</x:v>
      </x:c>
      <x:c r="I24" s="73" t="n">
        <x:v>667</x:v>
      </x:c>
      <x:c r="J24" s="67" t="n">
        <x:v>0.17646568468395163</x:v>
      </x:c>
      <x:c r="K24" s="73" t="n">
        <x:v>603</x:v>
      </x:c>
      <x:c r="L24" s="89" t="str">
        <x:v>E</x:v>
      </x:c>
      <x:c r="M24" s="89" t="str">
        <x:v>REFER</x:v>
      </x:c>
      <x:c r="N24" s="101" t="n">
        <x:v>3672.4871858248252</x:v>
      </x:c>
      <x:c r="O24" s="73" t="n">
        <x:v>0</x:v>
      </x:c>
    </x:row>
    <x:row r="25">
      <x:c r="A25" s="89" t="str">
        <x:v>APP-0031093</x:v>
      </x:c>
      <x:c r="B25" s="89" t="str">
        <x:v>2025-01-01</x:v>
      </x:c>
      <x:c r="C25" s="89" t="str">
        <x:v>Web</x:v>
      </x:c>
      <x:c r="D25" s="89" t="str">
        <x:v>Marmara</x:v>
      </x:c>
      <x:c r="E25" s="89" t="str">
        <x:v>Public sector</x:v>
      </x:c>
      <x:c r="F25" s="101" t="n">
        <x:v>28274.44</x:v>
      </x:c>
      <x:c r="G25" s="101" t="n">
        <x:v>53746</x:v>
      </x:c>
      <x:c r="H25" s="67" t="n">
        <x:v>0.4246</x:v>
      </x:c>
      <x:c r="I25" s="73" t="n">
        <x:v>646</x:v>
      </x:c>
      <x:c r="J25" s="67" t="n">
        <x:v>0.11569558415248267</x:v>
      </x:c>
      <x:c r="K25" s="73" t="n">
        <x:v>638</x:v>
      </x:c>
      <x:c r="L25" s="89" t="str">
        <x:v>D</x:v>
      </x:c>
      <x:c r="M25" s="89" t="str">
        <x:v>REFER</x:v>
      </x:c>
      <x:c r="N25" s="101" t="n">
        <x:v>2798.1786896367003</x:v>
      </x:c>
      <x:c r="O25" s="73" t="n">
        <x:v>0</x:v>
      </x:c>
    </x:row>
    <x:row r="26">
      <x:c r="A26" s="89" t="str">
        <x:v>APP-0033646</x:v>
      </x:c>
      <x:c r="B26" s="89" t="str">
        <x:v>2025-01-01</x:v>
      </x:c>
      <x:c r="C26" s="89" t="str">
        <x:v>Mobile</x:v>
      </x:c>
      <x:c r="D26" s="89" t="str">
        <x:v>Aegean</x:v>
      </x:c>
      <x:c r="E26" s="89" t="str">
        <x:v>Salaried</x:v>
      </x:c>
      <x:c r="F26" s="101" t="n">
        <x:v>29709.49</x:v>
      </x:c>
      <x:c r="G26" s="101" t="n">
        <x:v>33958.11</x:v>
      </x:c>
      <x:c r="H26" s="67" t="n">
        <x:v>0.21436</x:v>
      </x:c>
      <x:c r="I26" s="73" t="n">
        <x:v>634</x:v>
      </x:c>
      <x:c r="J26" s="67" t="n">
        <x:v>0.19705418431690866</x:v>
      </x:c>
      <x:c r="K26" s="73" t="n">
        <x:v>593</x:v>
      </x:c>
      <x:c r="L26" s="89" t="str">
        <x:v>E</x:v>
      </x:c>
      <x:c r="M26" s="89" t="str">
        <x:v>REFER</x:v>
      </x:c>
      <x:c r="N26" s="101" t="n">
        <x:v>3011.2144501472367</x:v>
      </x:c>
      <x:c r="O26" s="73" t="n">
        <x:v>0</x:v>
      </x:c>
    </x:row>
    <x:row r="27">
      <x:c r="A27" s="89" t="str">
        <x:v>APP-0035330</x:v>
      </x:c>
      <x:c r="B27" s="89" t="str">
        <x:v>2025-01-01</x:v>
      </x:c>
      <x:c r="C27" s="89" t="str">
        <x:v>Mobile</x:v>
      </x:c>
      <x:c r="D27" s="89" t="str">
        <x:v>Marmara</x:v>
      </x:c>
      <x:c r="E27" s="89" t="str">
        <x:v>Salaried</x:v>
      </x:c>
      <x:c r="F27" s="101" t="n">
        <x:v>25885.23</x:v>
      </x:c>
      <x:c r="G27" s="101" t="n">
        <x:v>13539.36</x:v>
      </x:c>
      <x:c r="H27" s="67" t="n">
        <x:v>0.26888</x:v>
      </x:c>
      <x:c r="I27" s="73" t="n">
        <x:v>668</x:v>
      </x:c>
      <x:c r="J27" s="67" t="n">
        <x:v>0.10016853413133686</x:v>
      </x:c>
      <x:c r="K27" s="73" t="n">
        <x:v>650</x:v>
      </x:c>
      <x:c r="L27" s="89" t="str">
        <x:v>D</x:v>
      </x:c>
      <x:c r="M27" s="89" t="str">
        <x:v>REFER</x:v>
      </x:c>
      <x:c r="N27" s="101" t="n">
        <x:v>610.2980299244057</x:v>
      </x:c>
      <x:c r="O27" s="73" t="n">
        <x:v>0</x:v>
      </x:c>
    </x:row>
    <x:row r="28">
      <x:c r="A28" s="89" t="str">
        <x:v>APP-0036180</x:v>
      </x:c>
      <x:c r="B28" s="89" t="str">
        <x:v>2025-01-01</x:v>
      </x:c>
      <x:c r="C28" s="89" t="str">
        <x:v>Partner</x:v>
      </x:c>
      <x:c r="D28" s="89" t="str">
        <x:v>Marmara</x:v>
      </x:c>
      <x:c r="E28" s="89" t="str">
        <x:v>Salaried</x:v>
      </x:c>
      <x:c r="F28" s="101" t="n">
        <x:v>43547.46</x:v>
      </x:c>
      <x:c r="G28" s="101" t="n">
        <x:v>76652.68</x:v>
      </x:c>
      <x:c r="H28" s="67" t="n">
        <x:v>0.20124</x:v>
      </x:c>
      <x:c r="I28" s="73" t="n">
        <x:v>690</x:v>
      </x:c>
      <x:c r="J28" s="67" t="n">
        <x:v>0.07974179349250757</x:v>
      </x:c>
      <x:c r="K28" s="73" t="n">
        <x:v>668</x:v>
      </x:c>
      <x:c r="L28" s="89" t="str">
        <x:v>C</x:v>
      </x:c>
      <x:c r="M28" s="89" t="str">
        <x:v>APPROVE_RECOMMENDATION</x:v>
      </x:c>
      <x:c r="N28" s="101" t="n">
        <x:v>2750.5899806432694</x:v>
      </x:c>
      <x:c r="O28" s="73" t="n">
        <x:v>0</x:v>
      </x:c>
    </x:row>
    <x:row r="29">
      <x:c r="A29" s="89" t="str">
        <x:v>APP-0040513</x:v>
      </x:c>
      <x:c r="B29" s="89" t="str">
        <x:v>2025-01-01</x:v>
      </x:c>
      <x:c r="C29" s="89" t="str">
        <x:v>Mobile</x:v>
      </x:c>
      <x:c r="D29" s="89" t="str">
        <x:v>Aegean</x:v>
      </x:c>
      <x:c r="E29" s="89" t="str">
        <x:v>Salaried</x:v>
      </x:c>
      <x:c r="F29" s="101" t="n">
        <x:v>76495.69</x:v>
      </x:c>
      <x:c r="G29" s="101" t="n">
        <x:v>86740.59</x:v>
      </x:c>
      <x:c r="H29" s="67" t="n">
        <x:v>0.14944</x:v>
      </x:c>
      <x:c r="I29" s="73" t="n">
        <x:v>689</x:v>
      </x:c>
      <x:c r="J29" s="67" t="n">
        <x:v>0.18984137571093018</x:v>
      </x:c>
      <x:c r="K29" s="73" t="n">
        <x:v>596</x:v>
      </x:c>
      <x:c r="L29" s="89" t="str">
        <x:v>E</x:v>
      </x:c>
      <x:c r="M29" s="89" t="str">
        <x:v>REFER</x:v>
      </x:c>
      <x:c r="N29" s="101" t="n">
        <x:v>7410.128821009988</x:v>
      </x:c>
      <x:c r="O29" s="73" t="n">
        <x:v>0</x:v>
      </x:c>
    </x:row>
    <x:row r="30">
      <x:c r="A30" s="89" t="str">
        <x:v>APP-0042141</x:v>
      </x:c>
      <x:c r="B30" s="89" t="str">
        <x:v>2025-01-01</x:v>
      </x:c>
      <x:c r="C30" s="89" t="str">
        <x:v>Mobile</x:v>
      </x:c>
      <x:c r="D30" s="89" t="str">
        <x:v>Central Anatolia</x:v>
      </x:c>
      <x:c r="E30" s="89" t="str">
        <x:v>Salaried</x:v>
      </x:c>
      <x:c r="F30" s="101" t="n">
        <x:v>53533.23</x:v>
      </x:c>
      <x:c r="G30" s="101" t="n">
        <x:v>240815.51</x:v>
      </x:c>
      <x:c r="H30" s="67" t="n">
        <x:v>0.60023</x:v>
      </x:c>
      <x:c r="I30" s="73" t="n">
        <x:v>751</x:v>
      </x:c>
      <x:c r="J30" s="67" t="n">
        <x:v>0.06309951171010535</x:v>
      </x:c>
      <x:c r="K30" s="73" t="n">
        <x:v>686</x:v>
      </x:c>
      <x:c r="L30" s="89" t="str">
        <x:v>C</x:v>
      </x:c>
      <x:c r="M30" s="89" t="str">
        <x:v>APPROVE_RECOMMENDATION</x:v>
      </x:c>
      <x:c r="N30" s="101" t="n">
        <x:v>6837.903491948997</x:v>
      </x:c>
      <x:c r="O30" s="73" t="n">
        <x:v>0</x:v>
      </x:c>
    </x:row>
    <x:row r="31">
      <x:c r="A31" s="89" t="str">
        <x:v>APP-0043484</x:v>
      </x:c>
      <x:c r="B31" s="89" t="str">
        <x:v>2025-01-01</x:v>
      </x:c>
      <x:c r="C31" s="89" t="str">
        <x:v>Mobile</x:v>
      </x:c>
      <x:c r="D31" s="89" t="str">
        <x:v>Central Anatolia</x:v>
      </x:c>
      <x:c r="E31" s="89" t="str">
        <x:v>Public sector</x:v>
      </x:c>
      <x:c r="F31" s="101" t="n">
        <x:v>32224.17</x:v>
      </x:c>
      <x:c r="G31" s="101" t="n">
        <x:v>27279.88</x:v>
      </x:c>
      <x:c r="H31" s="67" t="n">
        <x:v>0.39849</x:v>
      </x:c>
      <x:c r="I31" s="73" t="n">
        <x:v>639</x:v>
      </x:c>
      <x:c r="J31" s="67" t="n">
        <x:v>0.3212766800452433</x:v>
      </x:c>
      <x:c r="K31" s="73" t="n">
        <x:v>545</x:v>
      </x:c>
      <x:c r="L31" s="89" t="str">
        <x:v>F</x:v>
      </x:c>
      <x:c r="M31" s="89" t="str">
        <x:v>DECLINE_RECOMMENDATION</x:v>
      </x:c>
      <x:c r="N31" s="101" t="n">
        <x:v>3943.9751752946845</x:v>
      </x:c>
      <x:c r="O31" s="73" t="n">
        <x:v>1</x:v>
      </x:c>
    </x:row>
    <x:row r="32">
      <x:c r="A32" s="89" t="str">
        <x:v>APP-0043671</x:v>
      </x:c>
      <x:c r="B32" s="89" t="str">
        <x:v>2025-01-01</x:v>
      </x:c>
      <x:c r="C32" s="89" t="str">
        <x:v>Branch</x:v>
      </x:c>
      <x:c r="D32" s="89" t="str">
        <x:v>Marmara</x:v>
      </x:c>
      <x:c r="E32" s="89" t="str">
        <x:v>Retired</x:v>
      </x:c>
      <x:c r="F32" s="101" t="n">
        <x:v>17722.16</x:v>
      </x:c>
      <x:c r="G32" s="101" t="n">
        <x:v>14480.49</x:v>
      </x:c>
      <x:c r="H32" s="67" t="n">
        <x:v>0.27562</x:v>
      </x:c>
      <x:c r="I32" s="73" t="n">
        <x:v>678</x:v>
      </x:c>
      <x:c r="J32" s="67" t="n">
        <x:v>0.10042778431517144</x:v>
      </x:c>
      <x:c r="K32" s="73" t="n">
        <x:v>650</x:v>
      </x:c>
      <x:c r="L32" s="89" t="str">
        <x:v>D</x:v>
      </x:c>
      <x:c r="M32" s="89" t="str">
        <x:v>REFER</x:v>
      </x:c>
      <x:c r="N32" s="101" t="n">
        <x:v>654.4095869240986</x:v>
      </x:c>
      <x:c r="O32" s="73" t="n">
        <x:v>0</x:v>
      </x:c>
    </x:row>
    <x:row r="33">
      <x:c r="A33" s="89" t="str">
        <x:v>APP-0045870</x:v>
      </x:c>
      <x:c r="B33" s="89" t="str">
        <x:v>2025-01-01</x:v>
      </x:c>
      <x:c r="C33" s="89" t="str">
        <x:v>Mobile</x:v>
      </x:c>
      <x:c r="D33" s="89" t="str">
        <x:v>Mediterranean</x:v>
      </x:c>
      <x:c r="E33" s="89" t="str">
        <x:v>Retired</x:v>
      </x:c>
      <x:c r="F33" s="101" t="n">
        <x:v>22974.5</x:v>
      </x:c>
      <x:c r="G33" s="101" t="n">
        <x:v>10000</x:v>
      </x:c>
      <x:c r="H33" s="67" t="n">
        <x:v>0.29613</x:v>
      </x:c>
      <x:c r="I33" s="73" t="n">
        <x:v>711</x:v>
      </x:c>
      <x:c r="J33" s="67" t="n">
        <x:v>0.19467695324065767</x:v>
      </x:c>
      <x:c r="K33" s="73" t="n">
        <x:v>594</x:v>
      </x:c>
      <x:c r="L33" s="89" t="str">
        <x:v>E</x:v>
      </x:c>
      <x:c r="M33" s="89" t="str">
        <x:v>REFER</x:v>
      </x:c>
      <x:c r="N33" s="101" t="n">
        <x:v>876.0462895829596</x:v>
      </x:c>
      <x:c r="O33" s="73" t="n">
        <x:v>0</x:v>
      </x:c>
    </x:row>
    <x:row r="34">
      <x:c r="A34" s="89" t="str">
        <x:v>APP-0047107</x:v>
      </x:c>
      <x:c r="B34" s="89" t="str">
        <x:v>2025-01-01</x:v>
      </x:c>
      <x:c r="C34" s="89" t="str">
        <x:v>Mobile</x:v>
      </x:c>
      <x:c r="D34" s="89" t="str">
        <x:v>Central Anatolia</x:v>
      </x:c>
      <x:c r="E34" s="89" t="str">
        <x:v>Retired</x:v>
      </x:c>
      <x:c r="F34" s="101" t="n">
        <x:v>19533.14</x:v>
      </x:c>
      <x:c r="G34" s="101" t="n">
        <x:v>10000</x:v>
      </x:c>
      <x:c r="H34" s="67" t="n">
        <x:v>0.75074</x:v>
      </x:c>
      <x:c r="I34" s="73" t="n">
        <x:v>621</x:v>
      </x:c>
      <x:c r="J34" s="67" t="n">
        <x:v>0.43202310485177664</x:v>
      </x:c>
      <x:c r="K34" s="73" t="n">
        <x:v>511</x:v>
      </x:c>
      <x:c r="L34" s="89" t="str">
        <x:v>F</x:v>
      </x:c>
      <x:c r="M34" s="89" t="str">
        <x:v>DECLINE_RECOMMENDATION</x:v>
      </x:c>
      <x:c r="N34" s="101" t="n">
        <x:v>1944.103971832995</x:v>
      </x:c>
      <x:c r="O34" s="73" t="n">
        <x:v>0</x:v>
      </x:c>
    </x:row>
    <x:row r="35">
      <x:c r="A35" s="89" t="str">
        <x:v>APP-0001049</x:v>
      </x:c>
      <x:c r="B35" s="89" t="str">
        <x:v>2025-01-02</x:v>
      </x:c>
      <x:c r="C35" s="89" t="str">
        <x:v>Mobile</x:v>
      </x:c>
      <x:c r="D35" s="89" t="str">
        <x:v>Central Anatolia</x:v>
      </x:c>
      <x:c r="E35" s="89" t="str">
        <x:v>Salaried</x:v>
      </x:c>
      <x:c r="F35" s="101" t="n">
        <x:v>20697.27</x:v>
      </x:c>
      <x:c r="G35" s="101" t="n">
        <x:v>42618.42</x:v>
      </x:c>
      <x:c r="H35" s="67" t="n">
        <x:v>0.32623</x:v>
      </x:c>
      <x:c r="I35" s="73" t="n">
        <x:v>691</x:v>
      </x:c>
      <x:c r="J35" s="67" t="n">
        <x:v>0.13411573475863034</x:v>
      </x:c>
      <x:c r="K35" s="73" t="n">
        <x:v>626</x:v>
      </x:c>
      <x:c r="L35" s="89" t="str">
        <x:v>D</x:v>
      </x:c>
      <x:c r="M35" s="89" t="str">
        <x:v>REFER</x:v>
      </x:c>
      <x:c r="N35" s="101" t="n">
        <x:v>2572.110320648358</x:v>
      </x:c>
      <x:c r="O35" s="73" t="n">
        <x:v>0</x:v>
      </x:c>
    </x:row>
    <x:row r="36">
      <x:c r="A36" s="89" t="str">
        <x:v>APP-0001816</x:v>
      </x:c>
      <x:c r="B36" s="89" t="str">
        <x:v>2025-01-02</x:v>
      </x:c>
      <x:c r="C36" s="89" t="str">
        <x:v>Mobile</x:v>
      </x:c>
      <x:c r="D36" s="89" t="str">
        <x:v>Aegean</x:v>
      </x:c>
      <x:c r="E36" s="89" t="str">
        <x:v>Salaried</x:v>
      </x:c>
      <x:c r="F36" s="101" t="n">
        <x:v>30046.1</x:v>
      </x:c>
      <x:c r="G36" s="101" t="n">
        <x:v>23996.23</x:v>
      </x:c>
      <x:c r="H36" s="67" t="n">
        <x:v>0.18553</x:v>
      </x:c>
      <x:c r="I36" s="73" t="n">
        <x:v>747</x:v>
      </x:c>
      <x:c r="J36" s="67" t="n">
        <x:v>0.0928363581491007</x:v>
      </x:c>
      <x:c r="K36" s="73" t="n">
        <x:v>656</x:v>
      </x:c>
      <x:c r="L36" s="89" t="str">
        <x:v>C</x:v>
      </x:c>
      <x:c r="M36" s="89" t="str">
        <x:v>APPROVE_RECOMMENDATION</x:v>
      </x:c>
      <x:c r="N36" s="101" t="n">
        <x:v>1002.4751711286876</x:v>
      </x:c>
      <x:c r="O36" s="73" t="n">
        <x:v>0</x:v>
      </x:c>
    </x:row>
    <x:row r="37">
      <x:c r="A37" s="89" t="str">
        <x:v>APP-0003271</x:v>
      </x:c>
      <x:c r="B37" s="89" t="str">
        <x:v>2025-01-02</x:v>
      </x:c>
      <x:c r="C37" s="89" t="str">
        <x:v>Web</x:v>
      </x:c>
      <x:c r="D37" s="89" t="str">
        <x:v>Mediterranean</x:v>
      </x:c>
      <x:c r="E37" s="89" t="str">
        <x:v>Salaried</x:v>
      </x:c>
      <x:c r="F37" s="101" t="n">
        <x:v>22099.04</x:v>
      </x:c>
      <x:c r="G37" s="101" t="n">
        <x:v>21793.98</x:v>
      </x:c>
      <x:c r="H37" s="67" t="n">
        <x:v>0.34631</x:v>
      </x:c>
      <x:c r="I37" s="73" t="n">
        <x:v>730</x:v>
      </x:c>
      <x:c r="J37" s="67" t="n">
        <x:v>0.05767934802159846</x:v>
      </x:c>
      <x:c r="K37" s="73" t="n">
        <x:v>693</x:v>
      </x:c>
      <x:c r="L37" s="89" t="str">
        <x:v>B</x:v>
      </x:c>
      <x:c r="M37" s="89" t="str">
        <x:v>APPROVE_RECOMMENDATION</x:v>
      </x:c>
      <x:c r="N37" s="101" t="n">
        <x:v>565.6781507380904</x:v>
      </x:c>
      <x:c r="O37" s="73" t="n">
        <x:v>0</x:v>
      </x:c>
    </x:row>
    <x:row r="38">
      <x:c r="A38" s="89" t="str">
        <x:v>APP-0004482</x:v>
      </x:c>
      <x:c r="B38" s="89" t="str">
        <x:v>2025-01-02</x:v>
      </x:c>
      <x:c r="C38" s="89" t="str">
        <x:v>Mobile</x:v>
      </x:c>
      <x:c r="D38" s="89" t="str">
        <x:v>Mediterranean</x:v>
      </x:c>
      <x:c r="E38" s="89" t="str">
        <x:v>Salaried</x:v>
      </x:c>
      <x:c r="F38" s="101" t="n">
        <x:v>40893.26</x:v>
      </x:c>
      <x:c r="G38" s="101" t="n">
        <x:v>23610.1</x:v>
      </x:c>
      <x:c r="H38" s="67" t="n">
        <x:v>0.23162</x:v>
      </x:c>
      <x:c r="I38" s="73" t="n">
        <x:v>725</x:v>
      </x:c>
      <x:c r="J38" s="67" t="n">
        <x:v>0.032449608624852</x:v>
      </x:c>
      <x:c r="K38" s="73" t="n">
        <x:v>736</x:v>
      </x:c>
      <x:c r="L38" s="89" t="str">
        <x:v>B</x:v>
      </x:c>
      <x:c r="M38" s="89" t="str">
        <x:v>APPROVE_RECOMMENDATION</x:v>
      </x:c>
      <x:c r="N38" s="101" t="n">
        <x:v>344.7623270671282</x:v>
      </x:c>
      <x:c r="O38" s="73" t="n">
        <x:v>0</x:v>
      </x:c>
    </x:row>
    <x:row r="39">
      <x:c r="A39" s="89" t="str">
        <x:v>APP-0005539</x:v>
      </x:c>
      <x:c r="B39" s="89" t="str">
        <x:v>2025-01-02</x:v>
      </x:c>
      <x:c r="C39" s="89" t="str">
        <x:v>Web</x:v>
      </x:c>
      <x:c r="D39" s="89" t="str">
        <x:v>Mediterranean</x:v>
      </x:c>
      <x:c r="E39" s="89" t="str">
        <x:v>Public sector</x:v>
      </x:c>
      <x:c r="F39" s="101" t="n">
        <x:v>48557.96</x:v>
      </x:c>
      <x:c r="G39" s="101" t="n">
        <x:v>27396.07</x:v>
      </x:c>
      <x:c r="H39" s="67" t="n">
        <x:v>0.45056</x:v>
      </x:c>
      <x:c r="I39" s="73" t="n">
        <x:v>676</x:v>
      </x:c>
      <x:c r="J39" s="67" t="n">
        <x:v>0.17496504670897378</x:v>
      </x:c>
      <x:c r="K39" s="73" t="n">
        <x:v>603</x:v>
      </x:c>
      <x:c r="L39" s="89" t="str">
        <x:v>E</x:v>
      </x:c>
      <x:c r="M39" s="89" t="str">
        <x:v>REFER</x:v>
      </x:c>
      <x:c r="N39" s="101" t="n">
        <x:v>2157.009600236542</x:v>
      </x:c>
      <x:c r="O39" s="73" t="n">
        <x:v>0</x:v>
      </x:c>
    </x:row>
    <x:row r="40">
      <x:c r="A40" s="89" t="str">
        <x:v>APP-0005546</x:v>
      </x:c>
      <x:c r="B40" s="89" t="str">
        <x:v>2025-01-02</x:v>
      </x:c>
      <x:c r="C40" s="89" t="str">
        <x:v>Partner</x:v>
      </x:c>
      <x:c r="D40" s="89" t="str">
        <x:v>Central Anatolia</x:v>
      </x:c>
      <x:c r="E40" s="89" t="str">
        <x:v>Salaried</x:v>
      </x:c>
      <x:c r="F40" s="101" t="n">
        <x:v>43562.21</x:v>
      </x:c>
      <x:c r="G40" s="101" t="n">
        <x:v>22259.31</x:v>
      </x:c>
      <x:c r="H40" s="67" t="n">
        <x:v>0.44195</x:v>
      </x:c>
      <x:c r="I40" s="73" t="n">
        <x:v>640</x:v>
      </x:c>
      <x:c r="J40" s="67" t="n">
        <x:v>0.36308749384521016</x:v>
      </x:c>
      <x:c r="K40" s="73" t="n">
        <x:v>532</x:v>
      </x:c>
      <x:c r="L40" s="89" t="str">
        <x:v>F</x:v>
      </x:c>
      <x:c r="M40" s="89" t="str">
        <x:v>DECLINE_RECOMMENDATION</x:v>
      </x:c>
      <x:c r="N40" s="101" t="n">
        <x:v>3636.9346871806315</x:v>
      </x:c>
      <x:c r="O40" s="73" t="n">
        <x:v>1</x:v>
      </x:c>
    </x:row>
    <x:row r="41">
      <x:c r="A41" s="89" t="str">
        <x:v>APP-0005935</x:v>
      </x:c>
      <x:c r="B41" s="89" t="str">
        <x:v>2025-01-02</x:v>
      </x:c>
      <x:c r="C41" s="89" t="str">
        <x:v>Branch</x:v>
      </x:c>
      <x:c r="D41" s="89" t="str">
        <x:v>Marmara</x:v>
      </x:c>
      <x:c r="E41" s="89" t="str">
        <x:v>Salaried</x:v>
      </x:c>
      <x:c r="F41" s="101" t="n">
        <x:v>35330.36</x:v>
      </x:c>
      <x:c r="G41" s="101" t="n">
        <x:v>44689.58</x:v>
      </x:c>
      <x:c r="H41" s="67" t="n">
        <x:v>0.39064</x:v>
      </x:c>
      <x:c r="I41" s="73" t="n">
        <x:v>700</x:v>
      </x:c>
      <x:c r="J41" s="67" t="n">
        <x:v>0.12984250610888895</x:v>
      </x:c>
      <x:c r="K41" s="73" t="n">
        <x:v>629</x:v>
      </x:c>
      <x:c r="L41" s="89" t="str">
        <x:v>D</x:v>
      </x:c>
      <x:c r="M41" s="89" t="str">
        <x:v>REFER</x:v>
      </x:c>
      <x:c r="N41" s="101" t="n">
        <x:v>2611.173178869157</x:v>
      </x:c>
      <x:c r="O41" s="73" t="n">
        <x:v>1</x:v>
      </x:c>
    </x:row>
    <x:row r="42">
      <x:c r="A42" s="89" t="str">
        <x:v>APP-0007636</x:v>
      </x:c>
      <x:c r="B42" s="89" t="str">
        <x:v>2025-01-02</x:v>
      </x:c>
      <x:c r="C42" s="89" t="str">
        <x:v>Mobile</x:v>
      </x:c>
      <x:c r="D42" s="89" t="str">
        <x:v>Central Anatolia</x:v>
      </x:c>
      <x:c r="E42" s="89" t="str">
        <x:v>Salaried</x:v>
      </x:c>
      <x:c r="F42" s="101" t="n">
        <x:v>20271.87</x:v>
      </x:c>
      <x:c r="G42" s="101" t="n">
        <x:v>10000</x:v>
      </x:c>
      <x:c r="H42" s="67" t="n">
        <x:v>0.33174</x:v>
      </x:c>
      <x:c r="I42" s="73" t="n">
        <x:v>697</x:v>
      </x:c>
      <x:c r="J42" s="67" t="n">
        <x:v>0.12959967911190004</x:v>
      </x:c>
      <x:c r="K42" s="73" t="n">
        <x:v>629</x:v>
      </x:c>
      <x:c r="L42" s="89" t="str">
        <x:v>D</x:v>
      </x:c>
      <x:c r="M42" s="89" t="str">
        <x:v>REFER</x:v>
      </x:c>
      <x:c r="N42" s="101" t="n">
        <x:v>583.1985560035502</x:v>
      </x:c>
      <x:c r="O42" s="73" t="n">
        <x:v>0</x:v>
      </x:c>
    </x:row>
    <x:row r="43">
      <x:c r="A43" s="89" t="str">
        <x:v>APP-0008152</x:v>
      </x:c>
      <x:c r="B43" s="89" t="str">
        <x:v>2025-01-02</x:v>
      </x:c>
      <x:c r="C43" s="89" t="str">
        <x:v>Branch</x:v>
      </x:c>
      <x:c r="D43" s="89" t="str">
        <x:v>Aegean</x:v>
      </x:c>
      <x:c r="E43" s="89" t="str">
        <x:v>Public sector</x:v>
      </x:c>
      <x:c r="F43" s="101" t="n">
        <x:v>51390.12</x:v>
      </x:c>
      <x:c r="G43" s="101" t="n">
        <x:v>57486.73</x:v>
      </x:c>
      <x:c r="H43" s="67" t="n">
        <x:v>0.13837</x:v>
      </x:c>
      <x:c r="I43" s="73" t="n">
        <x:v>632</x:v>
      </x:c>
      <x:c r="J43" s="67" t="n">
        <x:v>0.12743935878911244</x:v>
      </x:c>
      <x:c r="K43" s="73" t="n">
        <x:v>630</x:v>
      </x:c>
      <x:c r="L43" s="89" t="str">
        <x:v>D</x:v>
      </x:c>
      <x:c r="M43" s="89" t="str">
        <x:v>REFER</x:v>
      </x:c>
      <x:c r="N43" s="101" t="n">
        <x:v>3296.732404537275</x:v>
      </x:c>
      <x:c r="O43" s="73" t="n">
        <x:v>1</x:v>
      </x:c>
    </x:row>
    <x:row r="44">
      <x:c r="A44" s="89" t="str">
        <x:v>APP-0008226</x:v>
      </x:c>
      <x:c r="B44" s="89" t="str">
        <x:v>2025-01-02</x:v>
      </x:c>
      <x:c r="C44" s="89" t="str">
        <x:v>Mobile</x:v>
      </x:c>
      <x:c r="D44" s="89" t="str">
        <x:v>Aegean</x:v>
      </x:c>
      <x:c r="E44" s="89" t="str">
        <x:v>Salaried</x:v>
      </x:c>
      <x:c r="F44" s="101" t="n">
        <x:v>25085.19</x:v>
      </x:c>
      <x:c r="G44" s="101" t="n">
        <x:v>10000</x:v>
      </x:c>
      <x:c r="H44" s="67" t="n">
        <x:v>0.68734</x:v>
      </x:c>
      <x:c r="I44" s="73" t="n">
        <x:v>637</x:v>
      </x:c>
      <x:c r="J44" s="67" t="n">
        <x:v>0.5735731788629513</x:v>
      </x:c>
      <x:c r="K44" s="73" t="n">
        <x:v>470</x:v>
      </x:c>
      <x:c r="L44" s="89" t="str">
        <x:v>F</x:v>
      </x:c>
      <x:c r="M44" s="89" t="str">
        <x:v>DECLINE_RECOMMENDATION</x:v>
      </x:c>
      <x:c r="N44" s="101" t="n">
        <x:v>2581.0793048832807</x:v>
      </x:c>
      <x:c r="O44" s="73" t="n">
        <x:v>0</x:v>
      </x:c>
    </x:row>
    <x:row r="45">
      <x:c r="A45" s="89" t="str">
        <x:v>APP-0009637</x:v>
      </x:c>
      <x:c r="B45" s="89" t="str">
        <x:v>2025-01-02</x:v>
      </x:c>
      <x:c r="C45" s="89" t="str">
        <x:v>Mobile</x:v>
      </x:c>
      <x:c r="D45" s="89" t="str">
        <x:v>Mediterranean</x:v>
      </x:c>
      <x:c r="E45" s="89" t="str">
        <x:v>Self-employed</x:v>
      </x:c>
      <x:c r="F45" s="101" t="n">
        <x:v>97026.47</x:v>
      </x:c>
      <x:c r="G45" s="101" t="n">
        <x:v>63698.43</x:v>
      </x:c>
      <x:c r="H45" s="67" t="n">
        <x:v>0.46777</x:v>
      </x:c>
      <x:c r="I45" s="73" t="n">
        <x:v>765</x:v>
      </x:c>
      <x:c r="J45" s="67" t="n">
        <x:v>0.05667570005235931</x:v>
      </x:c>
      <x:c r="K45" s="73" t="n">
        <x:v>694</x:v>
      </x:c>
      <x:c r="L45" s="89" t="str">
        <x:v>B</x:v>
      </x:c>
      <x:c r="M45" s="89" t="str">
        <x:v>APPROVE_RECOMMENDATION</x:v>
      </x:c>
      <x:c r="N45" s="101" t="n">
        <x:v>1624.5689006187927</x:v>
      </x:c>
      <x:c r="O45" s="73" t="n">
        <x:v>0</x:v>
      </x:c>
    </x:row>
    <x:row r="46">
      <x:c r="A46" s="89" t="str">
        <x:v>APP-0010801</x:v>
      </x:c>
      <x:c r="B46" s="89" t="str">
        <x:v>2025-01-02</x:v>
      </x:c>
      <x:c r="C46" s="89" t="str">
        <x:v>Web</x:v>
      </x:c>
      <x:c r="D46" s="89" t="str">
        <x:v>Marmara</x:v>
      </x:c>
      <x:c r="E46" s="89" t="str">
        <x:v>Salaried</x:v>
      </x:c>
      <x:c r="F46" s="101" t="n">
        <x:v>75622.61</x:v>
      </x:c>
      <x:c r="G46" s="101" t="n">
        <x:v>86538.22</x:v>
      </x:c>
      <x:c r="H46" s="67" t="n">
        <x:v>0.30362</x:v>
      </x:c>
      <x:c r="I46" s="73" t="n">
        <x:v>663</x:v>
      </x:c>
      <x:c r="J46" s="67" t="n">
        <x:v>0.2654673259167733</x:v>
      </x:c>
      <x:c r="K46" s="73" t="n">
        <x:v>565</x:v>
      </x:c>
      <x:c r="L46" s="89" t="str">
        <x:v>F</x:v>
      </x:c>
      <x:c r="M46" s="89" t="str">
        <x:v>DECLINE_RECOMMENDATION</x:v>
      </x:c>
      <x:c r="N46" s="101" t="n">
        <x:v>10337.881433848843</x:v>
      </x:c>
      <x:c r="O46" s="73" t="n">
        <x:v>0</x:v>
      </x:c>
    </x:row>
    <x:row r="47">
      <x:c r="A47" s="89" t="str">
        <x:v>APP-0010905</x:v>
      </x:c>
      <x:c r="B47" s="89" t="str">
        <x:v>2025-01-02</x:v>
      </x:c>
      <x:c r="C47" s="89" t="str">
        <x:v>Web</x:v>
      </x:c>
      <x:c r="D47" s="89" t="str">
        <x:v>Mediterranean</x:v>
      </x:c>
      <x:c r="E47" s="89" t="str">
        <x:v>Salaried</x:v>
      </x:c>
      <x:c r="F47" s="101" t="n">
        <x:v>67404.06</x:v>
      </x:c>
      <x:c r="G47" s="101" t="n">
        <x:v>43005.37</x:v>
      </x:c>
      <x:c r="H47" s="67" t="n">
        <x:v>0.21766</x:v>
      </x:c>
      <x:c r="I47" s="73" t="n">
        <x:v>614</x:v>
      </x:c>
      <x:c r="J47" s="67" t="n">
        <x:v>0.25153583386861655</x:v>
      </x:c>
      <x:c r="K47" s="73" t="n">
        <x:v>570</x:v>
      </x:c>
      <x:c r="L47" s="89" t="str">
        <x:v>F</x:v>
      </x:c>
      <x:c r="M47" s="89" t="str">
        <x:v>DECLINE_RECOMMENDATION</x:v>
      </x:c>
      <x:c r="N47" s="101" t="n">
        <x:v>4867.826221700274</x:v>
      </x:c>
      <x:c r="O47" s="73" t="n">
        <x:v>0</x:v>
      </x:c>
    </x:row>
    <x:row r="48">
      <x:c r="A48" s="89" t="str">
        <x:v>APP-0012094</x:v>
      </x:c>
      <x:c r="B48" s="89" t="str">
        <x:v>2025-01-02</x:v>
      </x:c>
      <x:c r="C48" s="89" t="str">
        <x:v>Web</x:v>
      </x:c>
      <x:c r="D48" s="89" t="str">
        <x:v>Marmara</x:v>
      </x:c>
      <x:c r="E48" s="89" t="str">
        <x:v>Salaried</x:v>
      </x:c>
      <x:c r="F48" s="101" t="n">
        <x:v>42260.22</x:v>
      </x:c>
      <x:c r="G48" s="101" t="n">
        <x:v>79634.88</x:v>
      </x:c>
      <x:c r="H48" s="67" t="n">
        <x:v>0.39649</x:v>
      </x:c>
      <x:c r="I48" s="73" t="n">
        <x:v>672</x:v>
      </x:c>
      <x:c r="J48" s="67" t="n">
        <x:v>0.18837462052894602</x:v>
      </x:c>
      <x:c r="K48" s="73" t="n">
        <x:v>597</x:v>
      </x:c>
      <x:c r="L48" s="89" t="str">
        <x:v>E</x:v>
      </x:c>
      <x:c r="M48" s="89" t="str">
        <x:v>REFER</x:v>
      </x:c>
      <x:c r="N48" s="101" t="n">
        <x:v>6750.535635390669</x:v>
      </x:c>
      <x:c r="O48" s="73" t="n">
        <x:v>0</x:v>
      </x:c>
    </x:row>
    <x:row r="49">
      <x:c r="A49" s="89" t="str">
        <x:v>APP-0013588</x:v>
      </x:c>
      <x:c r="B49" s="89" t="str">
        <x:v>2025-01-02</x:v>
      </x:c>
      <x:c r="C49" s="89" t="str">
        <x:v>Mobile</x:v>
      </x:c>
      <x:c r="D49" s="89" t="str">
        <x:v>Marmara</x:v>
      </x:c>
      <x:c r="E49" s="89" t="str">
        <x:v>Self-employed</x:v>
      </x:c>
      <x:c r="F49" s="101" t="n">
        <x:v>26601.65</x:v>
      </x:c>
      <x:c r="G49" s="101" t="n">
        <x:v>36529.51</x:v>
      </x:c>
      <x:c r="H49" s="67" t="n">
        <x:v>0.14625</x:v>
      </x:c>
      <x:c r="I49" s="73" t="n">
        <x:v>713</x:v>
      </x:c>
      <x:c r="J49" s="67" t="n">
        <x:v>0.05714956669141311</x:v>
      </x:c>
      <x:c r="K49" s="73" t="n">
        <x:v>694</x:v>
      </x:c>
      <x:c r="L49" s="89" t="str">
        <x:v>B</x:v>
      </x:c>
      <x:c r="M49" s="89" t="str">
        <x:v>APPROVE_RECOMMENDATION</x:v>
      </x:c>
      <x:c r="N49" s="101" t="n">
        <x:v>939.4405505773391</x:v>
      </x:c>
      <x:c r="O49" s="73" t="n">
        <x:v>0</x:v>
      </x:c>
    </x:row>
    <x:row r="50">
      <x:c r="A50" s="89" t="str">
        <x:v>APP-0014503</x:v>
      </x:c>
      <x:c r="B50" s="89" t="str">
        <x:v>2025-01-02</x:v>
      </x:c>
      <x:c r="C50" s="89" t="str">
        <x:v>Partner</x:v>
      </x:c>
      <x:c r="D50" s="89" t="str">
        <x:v>Central Anatolia</x:v>
      </x:c>
      <x:c r="E50" s="89" t="str">
        <x:v>Self-employed</x:v>
      </x:c>
      <x:c r="F50" s="101" t="n">
        <x:v>30974.59</x:v>
      </x:c>
      <x:c r="G50" s="101" t="n">
        <x:v>45788.49</x:v>
      </x:c>
      <x:c r="H50" s="67" t="n">
        <x:v>0.23341</x:v>
      </x:c>
      <x:c r="I50" s="73" t="n">
        <x:v>740</x:v>
      </x:c>
      <x:c r="J50" s="67" t="n">
        <x:v>0.056887043255874396</x:v>
      </x:c>
      <x:c r="K50" s="73" t="n">
        <x:v>694</x:v>
      </x:c>
      <x:c r="L50" s="89" t="str">
        <x:v>B</x:v>
      </x:c>
      <x:c r="M50" s="89" t="str">
        <x:v>APPROVE_RECOMMENDATION</x:v>
      </x:c>
      <x:c r="N50" s="101" t="n">
        <x:v>1172.1473150630275</x:v>
      </x:c>
      <x:c r="O50" s="73" t="n">
        <x:v>0</x:v>
      </x:c>
    </x:row>
    <x:row r="51">
      <x:c r="A51" s="89" t="str">
        <x:v>APP-0014515</x:v>
      </x:c>
      <x:c r="B51" s="89" t="str">
        <x:v>2025-01-02</x:v>
      </x:c>
      <x:c r="C51" s="89" t="str">
        <x:v>Mobile</x:v>
      </x:c>
      <x:c r="D51" s="89" t="str">
        <x:v>Black Sea</x:v>
      </x:c>
      <x:c r="E51" s="89" t="str">
        <x:v>Salaried</x:v>
      </x:c>
      <x:c r="F51" s="101" t="n">
        <x:v>47981.58</x:v>
      </x:c>
      <x:c r="G51" s="101" t="n">
        <x:v>16864.71</x:v>
      </x:c>
      <x:c r="H51" s="67" t="n">
        <x:v>0.35108</x:v>
      </x:c>
      <x:c r="I51" s="73" t="n">
        <x:v>733</x:v>
      </x:c>
      <x:c r="J51" s="67" t="n">
        <x:v>0.06205476491730202</x:v>
      </x:c>
      <x:c r="K51" s="73" t="n">
        <x:v>687</x:v>
      </x:c>
      <x:c r="L51" s="89" t="str">
        <x:v>C</x:v>
      </x:c>
      <x:c r="M51" s="89" t="str">
        <x:v>APPROVE_RECOMMENDATION</x:v>
      </x:c>
      <x:c r="N51" s="101" t="n">
        <x:v>470.94102650181264</x:v>
      </x:c>
      <x:c r="O51" s="73" t="n">
        <x:v>0</x:v>
      </x:c>
    </x:row>
    <x:row r="52">
      <x:c r="A52" s="89" t="str">
        <x:v>APP-0014627</x:v>
      </x:c>
      <x:c r="B52" s="89" t="str">
        <x:v>2025-01-02</x:v>
      </x:c>
      <x:c r="C52" s="89" t="str">
        <x:v>Web</x:v>
      </x:c>
      <x:c r="D52" s="89" t="str">
        <x:v>Black Sea</x:v>
      </x:c>
      <x:c r="E52" s="89" t="str">
        <x:v>Public sector</x:v>
      </x:c>
      <x:c r="F52" s="101" t="n">
        <x:v>44225.27</x:v>
      </x:c>
      <x:c r="G52" s="101" t="n">
        <x:v>17040.12</x:v>
      </x:c>
      <x:c r="H52" s="67" t="n">
        <x:v>0.13197</x:v>
      </x:c>
      <x:c r="I52" s="73" t="n">
        <x:v>681</x:v>
      </x:c>
      <x:c r="J52" s="67" t="n">
        <x:v>0.04545126077386595</x:v>
      </x:c>
      <x:c r="K52" s="73" t="n">
        <x:v>711</x:v>
      </x:c>
      <x:c r="L52" s="89" t="str">
        <x:v>B</x:v>
      </x:c>
      <x:c r="M52" s="89" t="str">
        <x:v>APPROVE_RECOMMENDATION</x:v>
      </x:c>
      <x:c r="N52" s="101" t="n">
        <x:v>348.5227219820859</x:v>
      </x:c>
      <x:c r="O52" s="73" t="n">
        <x:v>0</x:v>
      </x:c>
    </x:row>
    <x:row r="53">
      <x:c r="A53" s="89" t="str">
        <x:v>APP-0015837</x:v>
      </x:c>
      <x:c r="B53" s="89" t="str">
        <x:v>2025-01-02</x:v>
      </x:c>
      <x:c r="C53" s="89" t="str">
        <x:v>Mobile</x:v>
      </x:c>
      <x:c r="D53" s="89" t="str">
        <x:v>Aegean</x:v>
      </x:c>
      <x:c r="E53" s="89" t="str">
        <x:v>Self-employed</x:v>
      </x:c>
      <x:c r="F53" s="101" t="n">
        <x:v>55830.95</x:v>
      </x:c>
      <x:c r="G53" s="101" t="n">
        <x:v>53393.78</x:v>
      </x:c>
      <x:c r="H53" s="67" t="n">
        <x:v>0.10942</x:v>
      </x:c>
      <x:c r="I53" s="73" t="n">
        <x:v>650</x:v>
      </x:c>
      <x:c r="J53" s="67" t="n">
        <x:v>0.1379114535144258</x:v>
      </x:c>
      <x:c r="K53" s="73" t="n">
        <x:v>624</x:v>
      </x:c>
      <x:c r="L53" s="89" t="str">
        <x:v>D</x:v>
      </x:c>
      <x:c r="M53" s="89" t="str">
        <x:v>REFER</x:v>
      </x:c>
      <x:c r="N53" s="101" t="n">
        <x:v>3313.626213793265</x:v>
      </x:c>
      <x:c r="O53" s="73" t="n">
        <x:v>0</x:v>
      </x:c>
    </x:row>
    <x:row r="54">
      <x:c r="A54" s="89" t="str">
        <x:v>APP-0016101</x:v>
      </x:c>
      <x:c r="B54" s="89" t="str">
        <x:v>2025-01-02</x:v>
      </x:c>
      <x:c r="C54" s="89" t="str">
        <x:v>Web</x:v>
      </x:c>
      <x:c r="D54" s="89" t="str">
        <x:v>Marmara</x:v>
      </x:c>
      <x:c r="E54" s="89" t="str">
        <x:v>Contract</x:v>
      </x:c>
      <x:c r="F54" s="101" t="n">
        <x:v>32901.32</x:v>
      </x:c>
      <x:c r="G54" s="101" t="n">
        <x:v>55419.22</x:v>
      </x:c>
      <x:c r="H54" s="67" t="n">
        <x:v>0.1523</x:v>
      </x:c>
      <x:c r="I54" s="73" t="n">
        <x:v>645</x:v>
      </x:c>
      <x:c r="J54" s="67" t="n">
        <x:v>0.15603327928096053</x:v>
      </x:c>
      <x:c r="K54" s="73" t="n">
        <x:v>613</x:v>
      </x:c>
      <x:c r="L54" s="89" t="str">
        <x:v>E</x:v>
      </x:c>
      <x:c r="M54" s="89" t="str">
        <x:v>REFER</x:v>
      </x:c>
      <x:c r="N54" s="101" t="n">
        <x:v>3891.259184306847</x:v>
      </x:c>
      <x:c r="O54" s="73" t="n">
        <x:v>0</x:v>
      </x:c>
    </x:row>
    <x:row r="55">
      <x:c r="A55" s="89" t="str">
        <x:v>APP-0016348</x:v>
      </x:c>
      <x:c r="B55" s="89" t="str">
        <x:v>2025-01-02</x:v>
      </x:c>
      <x:c r="C55" s="89" t="str">
        <x:v>Mobile</x:v>
      </x:c>
      <x:c r="D55" s="89" t="str">
        <x:v>Marmara</x:v>
      </x:c>
      <x:c r="E55" s="89" t="str">
        <x:v>Salaried</x:v>
      </x:c>
      <x:c r="F55" s="101" t="n">
        <x:v>33134.11</x:v>
      </x:c>
      <x:c r="G55" s="101" t="n">
        <x:v>45473.14</x:v>
      </x:c>
      <x:c r="H55" s="67" t="n">
        <x:v>0.31707</x:v>
      </x:c>
      <x:c r="I55" s="73" t="n">
        <x:v>726</x:v>
      </x:c>
      <x:c r="J55" s="67" t="n">
        <x:v>0.0693649144249818</x:v>
      </x:c>
      <x:c r="K55" s="73" t="n">
        <x:v>679</x:v>
      </x:c>
      <x:c r="L55" s="89" t="str">
        <x:v>C</x:v>
      </x:c>
      <x:c r="M55" s="89" t="str">
        <x:v>APPROVE_RECOMMENDATION</x:v>
      </x:c>
      <x:c r="N55" s="101" t="n">
        <x:v>1419.4082091308476</x:v>
      </x:c>
      <x:c r="O55" s="73" t="n">
        <x:v>1</x:v>
      </x:c>
    </x:row>
    <x:row r="56">
      <x:c r="A56" s="89" t="str">
        <x:v>APP-0016425</x:v>
      </x:c>
      <x:c r="B56" s="89" t="str">
        <x:v>2025-01-02</x:v>
      </x:c>
      <x:c r="C56" s="89" t="str">
        <x:v>Partner</x:v>
      </x:c>
      <x:c r="D56" s="89" t="str">
        <x:v>Mediterranean</x:v>
      </x:c>
      <x:c r="E56" s="89" t="str">
        <x:v>Public sector</x:v>
      </x:c>
      <x:c r="F56" s="101" t="n">
        <x:v>22375.43</x:v>
      </x:c>
      <x:c r="G56" s="101" t="n">
        <x:v>31334.36</x:v>
      </x:c>
      <x:c r="H56" s="67" t="n">
        <x:v>0.0906</x:v>
      </x:c>
      <x:c r="I56" s="73" t="n">
        <x:v>707</x:v>
      </x:c>
      <x:c r="J56" s="67" t="n">
        <x:v>0.05082415608546435</x:v>
      </x:c>
      <x:c r="K56" s="73" t="n">
        <x:v>703</x:v>
      </x:c>
      <x:c r="L56" s="89" t="str">
        <x:v>B</x:v>
      </x:c>
      <x:c r="M56" s="89" t="str">
        <x:v>APPROVE_RECOMMENDATION</x:v>
      </x:c>
      <x:c r="N56" s="101" t="n">
        <x:v>716.6440815651589</x:v>
      </x:c>
      <x:c r="O56" s="73" t="n">
        <x:v>0</x:v>
      </x:c>
    </x:row>
    <x:row r="57">
      <x:c r="A57" s="89" t="str">
        <x:v>APP-0017603</x:v>
      </x:c>
      <x:c r="B57" s="89" t="str">
        <x:v>2025-01-02</x:v>
      </x:c>
      <x:c r="C57" s="89" t="str">
        <x:v>Web</x:v>
      </x:c>
      <x:c r="D57" s="89" t="str">
        <x:v>Marmara</x:v>
      </x:c>
      <x:c r="E57" s="89" t="str">
        <x:v>Public sector</x:v>
      </x:c>
      <x:c r="F57" s="101" t="n">
        <x:v>37689.81</x:v>
      </x:c>
      <x:c r="G57" s="101" t="n">
        <x:v>46084.33</x:v>
      </x:c>
      <x:c r="H57" s="67" t="n">
        <x:v>0.47264</x:v>
      </x:c>
      <x:c r="I57" s="73" t="n">
        <x:v>737</x:v>
      </x:c>
      <x:c r="J57" s="67" t="n">
        <x:v>0.13679554981748931</x:v>
      </x:c>
      <x:c r="K57" s="73" t="n">
        <x:v>624</x:v>
      </x:c>
      <x:c r="L57" s="89" t="str">
        <x:v>D</x:v>
      </x:c>
      <x:c r="M57" s="89" t="str">
        <x:v>REFER</x:v>
      </x:c>
      <x:c r="N57" s="101" t="n">
        <x:v>2836.859067144278</x:v>
      </x:c>
      <x:c r="O57" s="73" t="n">
        <x:v>0</x:v>
      </x:c>
    </x:row>
    <x:row r="58">
      <x:c r="A58" s="89" t="str">
        <x:v>APP-0018245</x:v>
      </x:c>
      <x:c r="B58" s="89" t="str">
        <x:v>2025-01-02</x:v>
      </x:c>
      <x:c r="C58" s="89" t="str">
        <x:v>Mobile</x:v>
      </x:c>
      <x:c r="D58" s="89" t="str">
        <x:v>Marmara</x:v>
      </x:c>
      <x:c r="E58" s="89" t="str">
        <x:v>Salaried</x:v>
      </x:c>
      <x:c r="F58" s="101" t="n">
        <x:v>12000</x:v>
      </x:c>
      <x:c r="G58" s="101" t="n">
        <x:v>10000</x:v>
      </x:c>
      <x:c r="H58" s="67" t="n">
        <x:v>0.1768</x:v>
      </x:c>
      <x:c r="I58" s="73" t="n">
        <x:v>625</x:v>
      </x:c>
      <x:c r="J58" s="67" t="n">
        <x:v>0.31763526467758557</x:v>
      </x:c>
      <x:c r="K58" s="73" t="n">
        <x:v>547</x:v>
      </x:c>
      <x:c r="L58" s="89" t="str">
        <x:v>F</x:v>
      </x:c>
      <x:c r="M58" s="89" t="str">
        <x:v>DECLINE_RECOMMENDATION</x:v>
      </x:c>
      <x:c r="N58" s="101" t="n">
        <x:v>1429.3586910491351</x:v>
      </x:c>
      <x:c r="O58" s="73" t="n">
        <x:v>1</x:v>
      </x:c>
    </x:row>
    <x:row r="59">
      <x:c r="A59" s="89" t="str">
        <x:v>APP-0018336</x:v>
      </x:c>
      <x:c r="B59" s="89" t="str">
        <x:v>2025-01-02</x:v>
      </x:c>
      <x:c r="C59" s="89" t="str">
        <x:v>Web</x:v>
      </x:c>
      <x:c r="D59" s="89" t="str">
        <x:v>Central Anatolia</x:v>
      </x:c>
      <x:c r="E59" s="89" t="str">
        <x:v>Salaried</x:v>
      </x:c>
      <x:c r="F59" s="101" t="n">
        <x:v>19699.67</x:v>
      </x:c>
      <x:c r="G59" s="101" t="n">
        <x:v>57749.08</x:v>
      </x:c>
      <x:c r="H59" s="67" t="n">
        <x:v>0.48383</x:v>
      </x:c>
      <x:c r="I59" s="73" t="n">
        <x:v>676</x:v>
      </x:c>
      <x:c r="J59" s="67" t="n">
        <x:v>0.34416889300702047</x:v>
      </x:c>
      <x:c r="K59" s="73" t="n">
        <x:v>538</x:v>
      </x:c>
      <x:c r="L59" s="89" t="str">
        <x:v>F</x:v>
      </x:c>
      <x:c r="M59" s="89" t="str">
        <x:v>DECLINE_RECOMMENDATION</x:v>
      </x:c>
      <x:c r="N59" s="101" t="n">
        <x:v>8943.946621098241</x:v>
      </x:c>
      <x:c r="O59" s="73" t="n">
        <x:v>0</x:v>
      </x:c>
    </x:row>
    <x:row r="60">
      <x:c r="A60" s="89" t="str">
        <x:v>APP-0021429</x:v>
      </x:c>
      <x:c r="B60" s="89" t="str">
        <x:v>2025-01-02</x:v>
      </x:c>
      <x:c r="C60" s="89" t="str">
        <x:v>Partner</x:v>
      </x:c>
      <x:c r="D60" s="89" t="str">
        <x:v>Marmara</x:v>
      </x:c>
      <x:c r="E60" s="89" t="str">
        <x:v>Contract</x:v>
      </x:c>
      <x:c r="F60" s="101" t="n">
        <x:v>30263.15</x:v>
      </x:c>
      <x:c r="G60" s="101" t="n">
        <x:v>27084.31</x:v>
      </x:c>
      <x:c r="H60" s="67" t="n">
        <x:v>0.20793</x:v>
      </x:c>
      <x:c r="I60" s="73" t="n">
        <x:v>720</x:v>
      </x:c>
      <x:c r="J60" s="67" t="n">
        <x:v>0.0981915206245344</x:v>
      </x:c>
      <x:c r="K60" s="73" t="n">
        <x:v>651</x:v>
      </x:c>
      <x:c r="L60" s="89" t="str">
        <x:v>C</x:v>
      </x:c>
      <x:c r="M60" s="89" t="str">
        <x:v>APPROVE_RECOMMENDATION</x:v>
      </x:c>
      <x:c r="N60" s="101" t="n">
        <x:v>1196.7523127848276</x:v>
      </x:c>
      <x:c r="O60" s="73" t="n">
        <x:v>0</x:v>
      </x:c>
    </x:row>
    <x:row r="61">
      <x:c r="A61" s="89" t="str">
        <x:v>APP-0021771</x:v>
      </x:c>
      <x:c r="B61" s="89" t="str">
        <x:v>2025-01-02</x:v>
      </x:c>
      <x:c r="C61" s="89" t="str">
        <x:v>Branch</x:v>
      </x:c>
      <x:c r="D61" s="89" t="str">
        <x:v>Mediterranean</x:v>
      </x:c>
      <x:c r="E61" s="89" t="str">
        <x:v>Public sector</x:v>
      </x:c>
      <x:c r="F61" s="101" t="n">
        <x:v>26159.63</x:v>
      </x:c>
      <x:c r="G61" s="101" t="n">
        <x:v>52156.11</x:v>
      </x:c>
      <x:c r="H61" s="67" t="n">
        <x:v>0.13038</x:v>
      </x:c>
      <x:c r="I61" s="73" t="n">
        <x:v>643</x:v>
      </x:c>
      <x:c r="J61" s="67" t="n">
        <x:v>0.17723382749741023</x:v>
      </x:c>
      <x:c r="K61" s="73" t="n">
        <x:v>602</x:v>
      </x:c>
      <x:c r="L61" s="89" t="str">
        <x:v>E</x:v>
      </x:c>
      <x:c r="M61" s="89" t="str">
        <x:v>REFER</x:v>
      </x:c>
      <x:c r="N61" s="101" t="n">
        <x:v>4159.722151204179</x:v>
      </x:c>
      <x:c r="O61" s="73" t="n">
        <x:v>1</x:v>
      </x:c>
    </x:row>
    <x:row r="62">
      <x:c r="A62" s="89" t="str">
        <x:v>APP-0024274</x:v>
      </x:c>
      <x:c r="B62" s="89" t="str">
        <x:v>2025-01-02</x:v>
      </x:c>
      <x:c r="C62" s="89" t="str">
        <x:v>Web</x:v>
      </x:c>
      <x:c r="D62" s="89" t="str">
        <x:v>Marmara</x:v>
      </x:c>
      <x:c r="E62" s="89" t="str">
        <x:v>Salaried</x:v>
      </x:c>
      <x:c r="F62" s="101" t="n">
        <x:v>15198.41</x:v>
      </x:c>
      <x:c r="G62" s="101" t="n">
        <x:v>13688.5</x:v>
      </x:c>
      <x:c r="H62" s="67" t="n">
        <x:v>0.10906</x:v>
      </x:c>
      <x:c r="I62" s="73" t="n">
        <x:v>624</x:v>
      </x:c>
      <x:c r="J62" s="67" t="n">
        <x:v>0.18074360086906957</x:v>
      </x:c>
      <x:c r="K62" s="73" t="n">
        <x:v>601</x:v>
      </x:c>
      <x:c r="L62" s="89" t="str">
        <x:v>E</x:v>
      </x:c>
      <x:c r="M62" s="89" t="str">
        <x:v>REFER</x:v>
      </x:c>
      <x:c r="N62" s="101" t="n">
        <x:v>1113.3489512233164</x:v>
      </x:c>
      <x:c r="O62" s="73" t="n">
        <x:v>0</x:v>
      </x:c>
    </x:row>
    <x:row r="63">
      <x:c r="A63" s="89" t="str">
        <x:v>APP-0027033</x:v>
      </x:c>
      <x:c r="B63" s="89" t="str">
        <x:v>2025-01-02</x:v>
      </x:c>
      <x:c r="C63" s="89" t="str">
        <x:v>Partner</x:v>
      </x:c>
      <x:c r="D63" s="89" t="str">
        <x:v>Black Sea</x:v>
      </x:c>
      <x:c r="E63" s="89" t="str">
        <x:v>Salaried</x:v>
      </x:c>
      <x:c r="F63" s="101" t="n">
        <x:v>50734.26</x:v>
      </x:c>
      <x:c r="G63" s="101" t="n">
        <x:v>41890.41</x:v>
      </x:c>
      <x:c r="H63" s="67" t="n">
        <x:v>0.0905</x:v>
      </x:c>
      <x:c r="I63" s="73" t="n">
        <x:v>691</x:v>
      </x:c>
      <x:c r="J63" s="67" t="n">
        <x:v>0.08012928258793169</x:v>
      </x:c>
      <x:c r="K63" s="73" t="n">
        <x:v>668</x:v>
      </x:c>
      <x:c r="L63" s="89" t="str">
        <x:v>C</x:v>
      </x:c>
      <x:c r="M63" s="89" t="str">
        <x:v>APPROVE_RECOMMENDATION</x:v>
      </x:c>
      <x:c r="N63" s="101" t="n">
        <x:v>1510.4918252764437</x:v>
      </x:c>
      <x:c r="O63" s="73" t="n">
        <x:v>0</x:v>
      </x:c>
    </x:row>
    <x:row r="64">
      <x:c r="A64" s="89" t="str">
        <x:v>APP-0027601</x:v>
      </x:c>
      <x:c r="B64" s="89" t="str">
        <x:v>2025-01-02</x:v>
      </x:c>
      <x:c r="C64" s="89" t="str">
        <x:v>Mobile</x:v>
      </x:c>
      <x:c r="D64" s="89" t="str">
        <x:v>Marmara</x:v>
      </x:c>
      <x:c r="E64" s="89" t="str">
        <x:v>Salaried</x:v>
      </x:c>
      <x:c r="F64" s="101" t="n">
        <x:v>31661.91</x:v>
      </x:c>
      <x:c r="G64" s="101" t="n">
        <x:v>69273.63</x:v>
      </x:c>
      <x:c r="H64" s="67" t="n">
        <x:v>0.20512</x:v>
      </x:c>
      <x:c r="I64" s="73" t="n">
        <x:v>691</x:v>
      </x:c>
      <x:c r="J64" s="67" t="n">
        <x:v>0.10001643172780043</x:v>
      </x:c>
      <x:c r="K64" s="73" t="n">
        <x:v>650</x:v>
      </x:c>
      <x:c r="L64" s="89" t="str">
        <x:v>D</x:v>
      </x:c>
      <x:c r="M64" s="89" t="str">
        <x:v>REFER</x:v>
      </x:c>
      <x:c r="N64" s="101" t="n">
        <x:v>3117.8255784443586</x:v>
      </x:c>
      <x:c r="O64" s="73" t="n">
        <x:v>0</x:v>
      </x:c>
    </x:row>
    <x:row r="65">
      <x:c r="A65" s="89" t="str">
        <x:v>APP-0027700</x:v>
      </x:c>
      <x:c r="B65" s="89" t="str">
        <x:v>2025-01-02</x:v>
      </x:c>
      <x:c r="C65" s="89" t="str">
        <x:v>Web</x:v>
      </x:c>
      <x:c r="D65" s="89" t="str">
        <x:v>Aegean</x:v>
      </x:c>
      <x:c r="E65" s="89" t="str">
        <x:v>Salaried</x:v>
      </x:c>
      <x:c r="F65" s="101" t="n">
        <x:v>130878.36</x:v>
      </x:c>
      <x:c r="G65" s="101" t="n">
        <x:v>133148</x:v>
      </x:c>
      <x:c r="H65" s="67" t="n">
        <x:v>0.15367</x:v>
      </x:c>
      <x:c r="I65" s="73" t="n">
        <x:v>730</x:v>
      </x:c>
      <x:c r="J65" s="67" t="n">
        <x:v>0.036115431490512634</x:v>
      </x:c>
      <x:c r="K65" s="73" t="n">
        <x:v>728</x:v>
      </x:c>
      <x:c r="L65" s="89" t="str">
        <x:v>B</x:v>
      </x:c>
      <x:c r="M65" s="89" t="str">
        <x:v>APPROVE_RECOMMENDATION</x:v>
      </x:c>
      <x:c r="N65" s="101" t="n">
        <x:v>2163.9138624444495</x:v>
      </x:c>
      <x:c r="O65" s="73" t="n">
        <x:v>0</x:v>
      </x:c>
    </x:row>
    <x:row r="66">
      <x:c r="A66" s="89" t="str">
        <x:v>APP-0032549</x:v>
      </x:c>
      <x:c r="B66" s="89" t="str">
        <x:v>2025-01-02</x:v>
      </x:c>
      <x:c r="C66" s="89" t="str">
        <x:v>Web</x:v>
      </x:c>
      <x:c r="D66" s="89" t="str">
        <x:v>Aegean</x:v>
      </x:c>
      <x:c r="E66" s="89" t="str">
        <x:v>Salaried</x:v>
      </x:c>
      <x:c r="F66" s="101" t="n">
        <x:v>35399.21</x:v>
      </x:c>
      <x:c r="G66" s="101" t="n">
        <x:v>17819.81</x:v>
      </x:c>
      <x:c r="H66" s="67" t="n">
        <x:v>0.14995</x:v>
      </x:c>
      <x:c r="I66" s="73" t="n">
        <x:v>610</x:v>
      </x:c>
      <x:c r="J66" s="67" t="n">
        <x:v>0.3132820508601</x:v>
      </x:c>
      <x:c r="K66" s="73" t="n">
        <x:v>548</x:v>
      </x:c>
      <x:c r="L66" s="89" t="str">
        <x:v>F</x:v>
      </x:c>
      <x:c r="M66" s="89" t="str">
        <x:v>DECLINE_RECOMMENDATION</x:v>
      </x:c>
      <x:c r="N66" s="101" t="n">
        <x:v>2512.181980231794</x:v>
      </x:c>
      <x:c r="O66" s="73" t="n">
        <x:v>1</x:v>
      </x:c>
    </x:row>
    <x:row r="67">
      <x:c r="A67" s="89" t="str">
        <x:v>APP-0032884</x:v>
      </x:c>
      <x:c r="B67" s="89" t="str">
        <x:v>2025-01-02</x:v>
      </x:c>
      <x:c r="C67" s="89" t="str">
        <x:v>Web</x:v>
      </x:c>
      <x:c r="D67" s="89" t="str">
        <x:v>Central Anatolia</x:v>
      </x:c>
      <x:c r="E67" s="89" t="str">
        <x:v>Public sector</x:v>
      </x:c>
      <x:c r="F67" s="101" t="n">
        <x:v>28849.17</x:v>
      </x:c>
      <x:c r="G67" s="101" t="n">
        <x:v>37302.75</x:v>
      </x:c>
      <x:c r="H67" s="67" t="n">
        <x:v>0.28824</x:v>
      </x:c>
      <x:c r="I67" s="73" t="n">
        <x:v>705</x:v>
      </x:c>
      <x:c r="J67" s="67" t="n">
        <x:v>0.10031098923970823</x:v>
      </x:c>
      <x:c r="K67" s="73" t="n">
        <x:v>650</x:v>
      </x:c>
      <x:c r="L67" s="89" t="str">
        <x:v>D</x:v>
      </x:c>
      <x:c r="M67" s="89" t="str">
        <x:v>REFER</x:v>
      </x:c>
      <x:c r="N67" s="101" t="n">
        <x:v>1683.8440892376868</x:v>
      </x:c>
      <x:c r="O67" s="73" t="n">
        <x:v>0</x:v>
      </x:c>
    </x:row>
    <x:row r="68">
      <x:c r="A68" s="89" t="str">
        <x:v>APP-0033399</x:v>
      </x:c>
      <x:c r="B68" s="89" t="str">
        <x:v>2025-01-02</x:v>
      </x:c>
      <x:c r="C68" s="89" t="str">
        <x:v>Branch</x:v>
      </x:c>
      <x:c r="D68" s="89" t="str">
        <x:v>Marmara</x:v>
      </x:c>
      <x:c r="E68" s="89" t="str">
        <x:v>Self-employed</x:v>
      </x:c>
      <x:c r="F68" s="101" t="n">
        <x:v>43740.22</x:v>
      </x:c>
      <x:c r="G68" s="101" t="n">
        <x:v>18540.21</x:v>
      </x:c>
      <x:c r="H68" s="67" t="n">
        <x:v>0.32658</x:v>
      </x:c>
      <x:c r="I68" s="73" t="n">
        <x:v>716</x:v>
      </x:c>
      <x:c r="J68" s="67" t="n">
        <x:v>0.09845676764478585</x:v>
      </x:c>
      <x:c r="K68" s="73" t="n">
        <x:v>651</x:v>
      </x:c>
      <x:c r="L68" s="89" t="str">
        <x:v>C</x:v>
      </x:c>
      <x:c r="M68" s="89" t="str">
        <x:v>APPROVE_RECOMMENDATION</x:v>
      </x:c>
      <x:c r="N68" s="101" t="n">
        <x:v>821.4341166249907</x:v>
      </x:c>
      <x:c r="O68" s="73" t="n">
        <x:v>0</x:v>
      </x:c>
    </x:row>
    <x:row r="69">
      <x:c r="A69" s="89" t="str">
        <x:v>APP-0034386</x:v>
      </x:c>
      <x:c r="B69" s="89" t="str">
        <x:v>2025-01-02</x:v>
      </x:c>
      <x:c r="C69" s="89" t="str">
        <x:v>Partner</x:v>
      </x:c>
      <x:c r="D69" s="89" t="str">
        <x:v>Mediterranean</x:v>
      </x:c>
      <x:c r="E69" s="89" t="str">
        <x:v>Self-employed</x:v>
      </x:c>
      <x:c r="F69" s="101" t="n">
        <x:v>41977.24</x:v>
      </x:c>
      <x:c r="G69" s="101" t="n">
        <x:v>45217.69</x:v>
      </x:c>
      <x:c r="H69" s="67" t="n">
        <x:v>0.53176</x:v>
      </x:c>
      <x:c r="I69" s="73" t="n">
        <x:v>606</x:v>
      </x:c>
      <x:c r="J69" s="67" t="n">
        <x:v>0.6839030451495673</x:v>
      </x:c>
      <x:c r="K69" s="73" t="n">
        <x:v>436</x:v>
      </x:c>
      <x:c r="L69" s="89" t="str">
        <x:v>F</x:v>
      </x:c>
      <x:c r="M69" s="89" t="str">
        <x:v>DECLINE_RECOMMENDATION</x:v>
      </x:c>
      <x:c r="N69" s="101" t="n">
        <x:v>13916.032148533113</x:v>
      </x:c>
      <x:c r="O69" s="73" t="n">
        <x:v>1</x:v>
      </x:c>
    </x:row>
    <x:row r="70">
      <x:c r="A70" s="89" t="str">
        <x:v>APP-0035570</x:v>
      </x:c>
      <x:c r="B70" s="89" t="str">
        <x:v>2025-01-02</x:v>
      </x:c>
      <x:c r="C70" s="89" t="str">
        <x:v>Partner</x:v>
      </x:c>
      <x:c r="D70" s="89" t="str">
        <x:v>Marmara</x:v>
      </x:c>
      <x:c r="E70" s="89" t="str">
        <x:v>Salaried</x:v>
      </x:c>
      <x:c r="F70" s="101" t="n">
        <x:v>34829.04</x:v>
      </x:c>
      <x:c r="G70" s="101" t="n">
        <x:v>40565.62</x:v>
      </x:c>
      <x:c r="H70" s="67" t="n">
        <x:v>0.20101</x:v>
      </x:c>
      <x:c r="I70" s="73" t="n">
        <x:v>720</x:v>
      </x:c>
      <x:c r="J70" s="67" t="n">
        <x:v>0.06031811579849154</x:v>
      </x:c>
      <x:c r="K70" s="73" t="n">
        <x:v>690</x:v>
      </x:c>
      <x:c r="L70" s="89" t="str">
        <x:v>C</x:v>
      </x:c>
      <x:c r="M70" s="89" t="str">
        <x:v>APPROVE_RECOMMENDATION</x:v>
      </x:c>
      <x:c r="N70" s="101" t="n">
        <x:v>1101.0787940689222</x:v>
      </x:c>
      <x:c r="O70" s="73" t="n">
        <x:v>0</x:v>
      </x:c>
    </x:row>
    <x:row r="71">
      <x:c r="A71" s="89" t="str">
        <x:v>APP-0035842</x:v>
      </x:c>
      <x:c r="B71" s="89" t="str">
        <x:v>2025-01-02</x:v>
      </x:c>
      <x:c r="C71" s="89" t="str">
        <x:v>Branch</x:v>
      </x:c>
      <x:c r="D71" s="89" t="str">
        <x:v>Mediterranean</x:v>
      </x:c>
      <x:c r="E71" s="89" t="str">
        <x:v>Salaried</x:v>
      </x:c>
      <x:c r="F71" s="101" t="n">
        <x:v>27883.14</x:v>
      </x:c>
      <x:c r="G71" s="101" t="n">
        <x:v>18496.37</x:v>
      </x:c>
      <x:c r="H71" s="67" t="n">
        <x:v>0.33621</x:v>
      </x:c>
      <x:c r="I71" s="73" t="n">
        <x:v>707</x:v>
      </x:c>
      <x:c r="J71" s="67" t="n">
        <x:v>0.06118275398573275</x:v>
      </x:c>
      <x:c r="K71" s="73" t="n">
        <x:v>688</x:v>
      </x:c>
      <x:c r="L71" s="89" t="str">
        <x:v>C</x:v>
      </x:c>
      <x:c r="M71" s="89" t="str">
        <x:v>APPROVE_RECOMMENDATION</x:v>
      </x:c>
      <x:c r="N71" s="101" t="n">
        <x:v>509.2464849025895</x:v>
      </x:c>
      <x:c r="O71" s="73" t="n">
        <x:v>0</x:v>
      </x:c>
    </x:row>
    <x:row r="72">
      <x:c r="A72" s="89" t="str">
        <x:v>APP-0041719</x:v>
      </x:c>
      <x:c r="B72" s="89" t="str">
        <x:v>2025-01-02</x:v>
      </x:c>
      <x:c r="C72" s="89" t="str">
        <x:v>Mobile</x:v>
      </x:c>
      <x:c r="D72" s="89" t="str">
        <x:v>Black Sea</x:v>
      </x:c>
      <x:c r="E72" s="89" t="str">
        <x:v>Public sector</x:v>
      </x:c>
      <x:c r="F72" s="101" t="n">
        <x:v>52759.33</x:v>
      </x:c>
      <x:c r="G72" s="101" t="n">
        <x:v>39180.92</x:v>
      </x:c>
      <x:c r="H72" s="67" t="n">
        <x:v>0.35828</x:v>
      </x:c>
      <x:c r="I72" s="73" t="n">
        <x:v>637</x:v>
      </x:c>
      <x:c r="J72" s="67" t="n">
        <x:v>0.1702874078722226</x:v>
      </x:c>
      <x:c r="K72" s="73" t="n">
        <x:v>606</x:v>
      </x:c>
      <x:c r="L72" s="89" t="str">
        <x:v>E</x:v>
      </x:c>
      <x:c r="M72" s="89" t="str">
        <x:v>REFER</x:v>
      </x:c>
      <x:c r="N72" s="101" t="n">
        <x:v>3002.407787182016</x:v>
      </x:c>
      <x:c r="O72" s="73" t="n">
        <x:v>0</x:v>
      </x:c>
    </x:row>
    <x:row r="73">
      <x:c r="A73" s="89" t="str">
        <x:v>APP-0042280</x:v>
      </x:c>
      <x:c r="B73" s="89" t="str">
        <x:v>2025-01-02</x:v>
      </x:c>
      <x:c r="C73" s="89" t="str">
        <x:v>Web</x:v>
      </x:c>
      <x:c r="D73" s="89" t="str">
        <x:v>Marmara</x:v>
      </x:c>
      <x:c r="E73" s="89" t="str">
        <x:v>Salaried</x:v>
      </x:c>
      <x:c r="F73" s="101" t="n">
        <x:v>53195.9</x:v>
      </x:c>
      <x:c r="G73" s="101" t="n">
        <x:v>98353.87</x:v>
      </x:c>
      <x:c r="H73" s="67" t="n">
        <x:v>0.37299</x:v>
      </x:c>
      <x:c r="I73" s="73" t="n">
        <x:v>699</x:v>
      </x:c>
      <x:c r="J73" s="67" t="n">
        <x:v>0.0637623073417264</x:v>
      </x:c>
      <x:c r="K73" s="73" t="n">
        <x:v>685</x:v>
      </x:c>
      <x:c r="L73" s="89" t="str">
        <x:v>C</x:v>
      </x:c>
      <x:c r="M73" s="89" t="str">
        <x:v>APPROVE_RECOMMENDATION</x:v>
      </x:c>
      <x:c r="N73" s="101" t="n">
        <x:v>2822.071359234692</x:v>
      </x:c>
      <x:c r="O73" s="73" t="n">
        <x:v>0</x:v>
      </x:c>
    </x:row>
    <x:row r="74">
      <x:c r="A74" s="89" t="str">
        <x:v>APP-0001714</x:v>
      </x:c>
      <x:c r="B74" s="89" t="str">
        <x:v>2025-01-03</x:v>
      </x:c>
      <x:c r="C74" s="89" t="str">
        <x:v>Mobile</x:v>
      </x:c>
      <x:c r="D74" s="89" t="str">
        <x:v>Marmara</x:v>
      </x:c>
      <x:c r="E74" s="89" t="str">
        <x:v>Salaried</x:v>
      </x:c>
      <x:c r="F74" s="101" t="n">
        <x:v>21520.81</x:v>
      </x:c>
      <x:c r="G74" s="101" t="n">
        <x:v>30406.21</x:v>
      </x:c>
      <x:c r="H74" s="67" t="n">
        <x:v>0.25715</x:v>
      </x:c>
      <x:c r="I74" s="73" t="n">
        <x:v>644</x:v>
      </x:c>
      <x:c r="J74" s="67" t="n">
        <x:v>0.18402298627660438</x:v>
      </x:c>
      <x:c r="K74" s="73" t="n">
        <x:v>599</x:v>
      </x:c>
      <x:c r="L74" s="89" t="str">
        <x:v>E</x:v>
      </x:c>
      <x:c r="M74" s="89" t="str">
        <x:v>REFER</x:v>
      </x:c>
      <x:c r="N74" s="101" t="n">
        <x:v>2517.948704499098</x:v>
      </x:c>
      <x:c r="O74" s="73" t="n">
        <x:v>0</x:v>
      </x:c>
    </x:row>
    <x:row r="75">
      <x:c r="A75" s="89" t="str">
        <x:v>APP-0004080</x:v>
      </x:c>
      <x:c r="B75" s="89" t="str">
        <x:v>2025-01-03</x:v>
      </x:c>
      <x:c r="C75" s="89" t="str">
        <x:v>Branch</x:v>
      </x:c>
      <x:c r="D75" s="89" t="str">
        <x:v>Central Anatolia</x:v>
      </x:c>
      <x:c r="E75" s="89" t="str">
        <x:v>Retired</x:v>
      </x:c>
      <x:c r="F75" s="101" t="n">
        <x:v>19192.8</x:v>
      </x:c>
      <x:c r="G75" s="101" t="n">
        <x:v>13415.59</x:v>
      </x:c>
      <x:c r="H75" s="67" t="n">
        <x:v>0.4017</x:v>
      </x:c>
      <x:c r="I75" s="73" t="n">
        <x:v>680</x:v>
      </x:c>
      <x:c r="J75" s="67" t="n">
        <x:v>0.09296114332348902</x:v>
      </x:c>
      <x:c r="K75" s="73" t="n">
        <x:v>656</x:v>
      </x:c>
      <x:c r="L75" s="89" t="str">
        <x:v>C</x:v>
      </x:c>
      <x:c r="M75" s="89" t="str">
        <x:v>APPROVE_RECOMMENDATION</x:v>
      </x:c>
      <x:c r="N75" s="101" t="n">
        <x:v>561.2078631416247</x:v>
      </x:c>
      <x:c r="O75" s="73" t="n">
        <x:v>0</x:v>
      </x:c>
    </x:row>
    <x:row r="76">
      <x:c r="A76" s="89" t="str">
        <x:v>APP-0005737</x:v>
      </x:c>
      <x:c r="B76" s="89" t="str">
        <x:v>2025-01-03</x:v>
      </x:c>
      <x:c r="C76" s="89" t="str">
        <x:v>Web</x:v>
      </x:c>
      <x:c r="D76" s="89" t="str">
        <x:v>Black Sea</x:v>
      </x:c>
      <x:c r="E76" s="89" t="str">
        <x:v>Salaried</x:v>
      </x:c>
      <x:c r="F76" s="101" t="n">
        <x:v>35040.23</x:v>
      </x:c>
      <x:c r="G76" s="101" t="n">
        <x:v>10000</x:v>
      </x:c>
      <x:c r="H76" s="67" t="n">
        <x:v>0.27603</x:v>
      </x:c>
      <x:c r="I76" s="73" t="n">
        <x:v>660</x:v>
      </x:c>
      <x:c r="J76" s="67" t="n">
        <x:v>0.15297018295936313</x:v>
      </x:c>
      <x:c r="K76" s="73" t="n">
        <x:v>615</x:v>
      </x:c>
      <x:c r="L76" s="89" t="str">
        <x:v>E</x:v>
      </x:c>
      <x:c r="M76" s="89" t="str">
        <x:v>REFER</x:v>
      </x:c>
      <x:c r="N76" s="101" t="n">
        <x:v>688.3658233171342</x:v>
      </x:c>
      <x:c r="O76" s="73" t="n">
        <x:v>0</x:v>
      </x:c>
    </x:row>
    <x:row r="77">
      <x:c r="A77" s="89" t="str">
        <x:v>APP-0006450</x:v>
      </x:c>
      <x:c r="B77" s="89" t="str">
        <x:v>2025-01-03</x:v>
      </x:c>
      <x:c r="C77" s="89" t="str">
        <x:v>Mobile</x:v>
      </x:c>
      <x:c r="D77" s="89" t="str">
        <x:v>Central Anatolia</x:v>
      </x:c>
      <x:c r="E77" s="89" t="str">
        <x:v>Contract</x:v>
      </x:c>
      <x:c r="F77" s="101" t="n">
        <x:v>53038.68</x:v>
      </x:c>
      <x:c r="G77" s="101" t="n">
        <x:v>102043.71</x:v>
      </x:c>
      <x:c r="H77" s="67" t="n">
        <x:v>0.18767</x:v>
      </x:c>
      <x:c r="I77" s="73" t="n">
        <x:v>687</x:v>
      </x:c>
      <x:c r="J77" s="67" t="n">
        <x:v>0.15168957989311282</x:v>
      </x:c>
      <x:c r="K77" s="73" t="n">
        <x:v>616</x:v>
      </x:c>
      <x:c r="L77" s="89" t="str">
        <x:v>E</x:v>
      </x:c>
      <x:c r="M77" s="89" t="str">
        <x:v>REFER</x:v>
      </x:c>
      <x:c r="N77" s="101" t="n">
        <x:v>6965.535375285586</x:v>
      </x:c>
      <x:c r="O77" s="73" t="n">
        <x:v>0</x:v>
      </x:c>
    </x:row>
    <x:row r="78">
      <x:c r="A78" s="89" t="str">
        <x:v>APP-0007719</x:v>
      </x:c>
      <x:c r="B78" s="89" t="str">
        <x:v>2025-01-03</x:v>
      </x:c>
      <x:c r="C78" s="89" t="str">
        <x:v>Web</x:v>
      </x:c>
      <x:c r="D78" s="89" t="str">
        <x:v>Aegean</x:v>
      </x:c>
      <x:c r="E78" s="89" t="str">
        <x:v>Salaried</x:v>
      </x:c>
      <x:c r="F78" s="101" t="n">
        <x:v>38878.32</x:v>
      </x:c>
      <x:c r="G78" s="101" t="n">
        <x:v>10000</x:v>
      </x:c>
      <x:c r="H78" s="67" t="n">
        <x:v>0.31289</x:v>
      </x:c>
      <x:c r="I78" s="73" t="n">
        <x:v>697</x:v>
      </x:c>
      <x:c r="J78" s="67" t="n">
        <x:v>0.10310931543824355</x:v>
      </x:c>
      <x:c r="K78" s="73" t="n">
        <x:v>648</x:v>
      </x:c>
      <x:c r="L78" s="89" t="str">
        <x:v>D</x:v>
      </x:c>
      <x:c r="M78" s="89" t="str">
        <x:v>REFER</x:v>
      </x:c>
      <x:c r="N78" s="101" t="n">
        <x:v>463.99191947209596</x:v>
      </x:c>
      <x:c r="O78" s="73" t="n">
        <x:v>0</x:v>
      </x:c>
    </x:row>
    <x:row r="79">
      <x:c r="A79" s="89" t="str">
        <x:v>APP-0008122</x:v>
      </x:c>
      <x:c r="B79" s="89" t="str">
        <x:v>2025-01-03</x:v>
      </x:c>
      <x:c r="C79" s="89" t="str">
        <x:v>Branch</x:v>
      </x:c>
      <x:c r="D79" s="89" t="str">
        <x:v>Marmara</x:v>
      </x:c>
      <x:c r="E79" s="89" t="str">
        <x:v>Public sector</x:v>
      </x:c>
      <x:c r="F79" s="101" t="n">
        <x:v>43496.92</x:v>
      </x:c>
      <x:c r="G79" s="101" t="n">
        <x:v>41329.78</x:v>
      </x:c>
      <x:c r="H79" s="67" t="n">
        <x:v>0.49957</x:v>
      </x:c>
      <x:c r="I79" s="73" t="n">
        <x:v>686</x:v>
      </x:c>
      <x:c r="J79" s="67" t="n">
        <x:v>0.18700722844573012</x:v>
      </x:c>
      <x:c r="K79" s="73" t="n">
        <x:v>598</x:v>
      </x:c>
      <x:c r="L79" s="89" t="str">
        <x:v>E</x:v>
      </x:c>
      <x:c r="M79" s="89" t="str">
        <x:v>REFER</x:v>
      </x:c>
      <x:c r="N79" s="101" t="n">
        <x:v>3478.0354245322956</x:v>
      </x:c>
      <x:c r="O79" s="73" t="n">
        <x:v>1</x:v>
      </x:c>
    </x:row>
    <x:row r="80">
      <x:c r="A80" s="89" t="str">
        <x:v>APP-0008914</x:v>
      </x:c>
      <x:c r="B80" s="89" t="str">
        <x:v>2025-01-03</x:v>
      </x:c>
      <x:c r="C80" s="89" t="str">
        <x:v>Web</x:v>
      </x:c>
      <x:c r="D80" s="89" t="str">
        <x:v>Aegean</x:v>
      </x:c>
      <x:c r="E80" s="89" t="str">
        <x:v>Salaried</x:v>
      </x:c>
      <x:c r="F80" s="101" t="n">
        <x:v>99367.81</x:v>
      </x:c>
      <x:c r="G80" s="101" t="n">
        <x:v>150935.44</x:v>
      </x:c>
      <x:c r="H80" s="67" t="n">
        <x:v>0.48713</x:v>
      </x:c>
      <x:c r="I80" s="73" t="n">
        <x:v>671</x:v>
      </x:c>
      <x:c r="J80" s="67" t="n">
        <x:v>0.1811676717313061</x:v>
      </x:c>
      <x:c r="K80" s="73" t="n">
        <x:v>600</x:v>
      </x:c>
      <x:c r="L80" s="89" t="str">
        <x:v>E</x:v>
      </x:c>
      <x:c r="M80" s="89" t="str">
        <x:v>REFER</x:v>
      </x:c>
      <x:c r="N80" s="101" t="n">
        <x:v>12305.080010943113</x:v>
      </x:c>
      <x:c r="O80" s="73" t="n">
        <x:v>0</x:v>
      </x:c>
    </x:row>
    <x:row r="81">
      <x:c r="A81" s="89" t="str">
        <x:v>APP-0012405</x:v>
      </x:c>
      <x:c r="B81" s="89" t="str">
        <x:v>2025-01-03</x:v>
      </x:c>
      <x:c r="C81" s="89" t="str">
        <x:v>Mobile</x:v>
      </x:c>
      <x:c r="D81" s="89" t="str">
        <x:v>Central Anatolia</x:v>
      </x:c>
      <x:c r="E81" s="89" t="str">
        <x:v>Self-employed</x:v>
      </x:c>
      <x:c r="F81" s="101" t="n">
        <x:v>26031.21</x:v>
      </x:c>
      <x:c r="G81" s="101" t="n">
        <x:v>182501.55</x:v>
      </x:c>
      <x:c r="H81" s="67" t="n">
        <x:v>0.39837</x:v>
      </x:c>
      <x:c r="I81" s="73" t="n">
        <x:v>661</x:v>
      </x:c>
      <x:c r="J81" s="67" t="n">
        <x:v>0.12472696366165523</x:v>
      </x:c>
      <x:c r="K81" s="73" t="n">
        <x:v>632</x:v>
      </x:c>
      <x:c r="L81" s="89" t="str">
        <x:v>D</x:v>
      </x:c>
      <x:c r="M81" s="89" t="str">
        <x:v>REFER</x:v>
      </x:c>
      <x:c r="N81" s="101" t="n">
        <x:v>10243.28888777059</x:v>
      </x:c>
      <x:c r="O81" s="73" t="n">
        <x:v>1</x:v>
      </x:c>
    </x:row>
    <x:row r="82">
      <x:c r="A82" s="89" t="str">
        <x:v>APP-0013003</x:v>
      </x:c>
      <x:c r="B82" s="89" t="str">
        <x:v>2025-01-03</x:v>
      </x:c>
      <x:c r="C82" s="89" t="str">
        <x:v>Branch</x:v>
      </x:c>
      <x:c r="D82" s="89" t="str">
        <x:v>Marmara</x:v>
      </x:c>
      <x:c r="E82" s="89" t="str">
        <x:v>Salaried</x:v>
      </x:c>
      <x:c r="F82" s="101" t="n">
        <x:v>28188.42</x:v>
      </x:c>
      <x:c r="G82" s="101" t="n">
        <x:v>65239.43</x:v>
      </x:c>
      <x:c r="H82" s="67" t="n">
        <x:v>0.3119</x:v>
      </x:c>
      <x:c r="I82" s="73" t="n">
        <x:v>724</x:v>
      </x:c>
      <x:c r="J82" s="67" t="n">
        <x:v>0.03585387191145827</x:v>
      </x:c>
      <x:c r="K82" s="73" t="n">
        <x:v>729</x:v>
      </x:c>
      <x:c r="L82" s="89" t="str">
        <x:v>B</x:v>
      </x:c>
      <x:c r="M82" s="89" t="str">
        <x:v>APPROVE_RECOMMENDATION</x:v>
      </x:c>
      <x:c r="N82" s="101" t="n">
        <x:v>1052.5887750584468</x:v>
      </x:c>
      <x:c r="O82" s="73" t="n">
        <x:v>0</x:v>
      </x:c>
    </x:row>
    <x:row r="83">
      <x:c r="A83" s="89" t="str">
        <x:v>APP-0013010</x:v>
      </x:c>
      <x:c r="B83" s="89" t="str">
        <x:v>2025-01-03</x:v>
      </x:c>
      <x:c r="C83" s="89" t="str">
        <x:v>Web</x:v>
      </x:c>
      <x:c r="D83" s="89" t="str">
        <x:v>Marmara</x:v>
      </x:c>
      <x:c r="E83" s="89" t="str">
        <x:v>Salaried</x:v>
      </x:c>
      <x:c r="F83" s="101" t="n">
        <x:v>41866.26</x:v>
      </x:c>
      <x:c r="G83" s="101" t="n">
        <x:v>89599.29</x:v>
      </x:c>
      <x:c r="H83" s="67" t="n">
        <x:v>0.19045</x:v>
      </x:c>
      <x:c r="I83" s="73" t="n">
        <x:v>610</x:v>
      </x:c>
      <x:c r="J83" s="67" t="n">
        <x:v>0.49064015888290774</x:v>
      </x:c>
      <x:c r="K83" s="73" t="n">
        <x:v>494</x:v>
      </x:c>
      <x:c r="L83" s="89" t="str">
        <x:v>F</x:v>
      </x:c>
      <x:c r="M83" s="89" t="str">
        <x:v>DECLINE_RECOMMENDATION</x:v>
      </x:c>
      <x:c r="N83" s="101" t="n">
        <x:v>19782.454446628075</x:v>
      </x:c>
      <x:c r="O83" s="73" t="n">
        <x:v>1</x:v>
      </x:c>
    </x:row>
    <x:row r="84">
      <x:c r="A84" s="89" t="str">
        <x:v>APP-0015349</x:v>
      </x:c>
      <x:c r="B84" s="89" t="str">
        <x:v>2025-01-03</x:v>
      </x:c>
      <x:c r="C84" s="89" t="str">
        <x:v>Mobile</x:v>
      </x:c>
      <x:c r="D84" s="89" t="str">
        <x:v>Black Sea</x:v>
      </x:c>
      <x:c r="E84" s="89" t="str">
        <x:v>Salaried</x:v>
      </x:c>
      <x:c r="F84" s="101" t="n">
        <x:v>50469.08</x:v>
      </x:c>
      <x:c r="G84" s="101" t="n">
        <x:v>33263.24</x:v>
      </x:c>
      <x:c r="H84" s="67" t="n">
        <x:v>0.09343</x:v>
      </x:c>
      <x:c r="I84" s="73" t="n">
        <x:v>676</x:v>
      </x:c>
      <x:c r="J84" s="67" t="n">
        <x:v>0.14653638626894494</x:v>
      </x:c>
      <x:c r="K84" s="73" t="n">
        <x:v>619</x:v>
      </x:c>
      <x:c r="L84" s="89" t="str">
        <x:v>D</x:v>
      </x:c>
      <x:c r="M84" s="89" t="str">
        <x:v>REFER</x:v>
      </x:c>
      <x:c r="N84" s="101" t="n">
        <x:v>2193.423743338479</x:v>
      </x:c>
      <x:c r="O84" s="73" t="n">
        <x:v>0</x:v>
      </x:c>
    </x:row>
    <x:row r="85">
      <x:c r="A85" s="89" t="str">
        <x:v>APP-0019305</x:v>
      </x:c>
      <x:c r="B85" s="89" t="str">
        <x:v>2025-01-03</x:v>
      </x:c>
      <x:c r="C85" s="89" t="str">
        <x:v>Mobile</x:v>
      </x:c>
      <x:c r="D85" s="89" t="str">
        <x:v>Black Sea</x:v>
      </x:c>
      <x:c r="E85" s="89" t="str">
        <x:v>Salaried</x:v>
      </x:c>
      <x:c r="F85" s="101" t="n">
        <x:v>42586.07</x:v>
      </x:c>
      <x:c r="G85" s="101" t="n">
        <x:v>55500.7</x:v>
      </x:c>
      <x:c r="H85" s="67" t="n">
        <x:v>0.2532</x:v>
      </x:c>
      <x:c r="I85" s="73" t="n">
        <x:v>683</x:v>
      </x:c>
      <x:c r="J85" s="67" t="n">
        <x:v>0.12245969661375354</x:v>
      </x:c>
      <x:c r="K85" s="73" t="n">
        <x:v>634</x:v>
      </x:c>
      <x:c r="L85" s="89" t="str">
        <x:v>D</x:v>
      </x:c>
      <x:c r="M85" s="89" t="str">
        <x:v>REFER</x:v>
      </x:c>
      <x:c r="N85" s="101" t="n">
        <x:v>3058.4694977329277</x:v>
      </x:c>
      <x:c r="O85" s="73" t="n">
        <x:v>0</x:v>
      </x:c>
    </x:row>
    <x:row r="86">
      <x:c r="A86" s="89" t="str">
        <x:v>APP-0020222</x:v>
      </x:c>
      <x:c r="B86" s="89" t="str">
        <x:v>2025-01-03</x:v>
      </x:c>
      <x:c r="C86" s="89" t="str">
        <x:v>Web</x:v>
      </x:c>
      <x:c r="D86" s="89" t="str">
        <x:v>Mediterranean</x:v>
      </x:c>
      <x:c r="E86" s="89" t="str">
        <x:v>Contract</x:v>
      </x:c>
      <x:c r="F86" s="101" t="n">
        <x:v>29611.64</x:v>
      </x:c>
      <x:c r="G86" s="101" t="n">
        <x:v>53117.68</x:v>
      </x:c>
      <x:c r="H86" s="67" t="n">
        <x:v>0.41189</x:v>
      </x:c>
      <x:c r="I86" s="73" t="n">
        <x:v>694</x:v>
      </x:c>
      <x:c r="J86" s="67" t="n">
        <x:v>0.19253474803889317</x:v>
      </x:c>
      <x:c r="K86" s="73" t="n">
        <x:v>595</x:v>
      </x:c>
      <x:c r="L86" s="89" t="str">
        <x:v>E</x:v>
      </x:c>
      <x:c r="M86" s="89" t="str">
        <x:v>REFER</x:v>
      </x:c>
      <x:c r="N86" s="101" t="n">
        <x:v>4602.14961084475</x:v>
      </x:c>
      <x:c r="O86" s="73" t="n">
        <x:v>0</x:v>
      </x:c>
    </x:row>
    <x:row r="87">
      <x:c r="A87" s="89" t="str">
        <x:v>APP-0021232</x:v>
      </x:c>
      <x:c r="B87" s="89" t="str">
        <x:v>2025-01-03</x:v>
      </x:c>
      <x:c r="C87" s="89" t="str">
        <x:v>Mobile</x:v>
      </x:c>
      <x:c r="D87" s="89" t="str">
        <x:v>Mediterranean</x:v>
      </x:c>
      <x:c r="E87" s="89" t="str">
        <x:v>Public sector</x:v>
      </x:c>
      <x:c r="F87" s="101" t="n">
        <x:v>89048.15</x:v>
      </x:c>
      <x:c r="G87" s="101" t="n">
        <x:v>153240.11</x:v>
      </x:c>
      <x:c r="H87" s="67" t="n">
        <x:v>0.20726</x:v>
      </x:c>
      <x:c r="I87" s="73" t="n">
        <x:v>760</x:v>
      </x:c>
      <x:c r="J87" s="67" t="n">
        <x:v>0.040502107369966525</x:v>
      </x:c>
      <x:c r="K87" s="73" t="n">
        <x:v>720</x:v>
      </x:c>
      <x:c r="L87" s="89" t="str">
        <x:v>B</x:v>
      </x:c>
      <x:c r="M87" s="89" t="str">
        <x:v>APPROVE_RECOMMENDATION</x:v>
      </x:c>
      <x:c r="N87" s="101" t="n">
        <x:v>2792.9463248724664</x:v>
      </x:c>
      <x:c r="O87" s="73" t="n">
        <x:v>0</x:v>
      </x:c>
    </x:row>
    <x:row r="88">
      <x:c r="A88" s="89" t="str">
        <x:v>APP-0022294</x:v>
      </x:c>
      <x:c r="B88" s="89" t="str">
        <x:v>2025-01-03</x:v>
      </x:c>
      <x:c r="C88" s="89" t="str">
        <x:v>Mobile</x:v>
      </x:c>
      <x:c r="D88" s="89" t="str">
        <x:v>Aegean</x:v>
      </x:c>
      <x:c r="E88" s="89" t="str">
        <x:v>Self-employed</x:v>
      </x:c>
      <x:c r="F88" s="101" t="n">
        <x:v>37801.62</x:v>
      </x:c>
      <x:c r="G88" s="101" t="n">
        <x:v>30378.52</x:v>
      </x:c>
      <x:c r="H88" s="67" t="n">
        <x:v>0.49599</x:v>
      </x:c>
      <x:c r="I88" s="73" t="n">
        <x:v>585</x:v>
      </x:c>
      <x:c r="J88" s="67" t="n">
        <x:v>0.4891770120636878</x:v>
      </x:c>
      <x:c r="K88" s="73" t="n">
        <x:v>495</x:v>
      </x:c>
      <x:c r="L88" s="89" t="str">
        <x:v>F</x:v>
      </x:c>
      <x:c r="M88" s="89" t="str">
        <x:v>DECLINE_RECOMMENDATION</x:v>
      </x:c>
      <x:c r="N88" s="101" t="n">
        <x:v>6687.213140032642</x:v>
      </x:c>
      <x:c r="O88" s="73" t="n">
        <x:v>1</x:v>
      </x:c>
    </x:row>
    <x:row r="89">
      <x:c r="A89" s="89" t="str">
        <x:v>APP-0022315</x:v>
      </x:c>
      <x:c r="B89" s="89" t="str">
        <x:v>2025-01-03</x:v>
      </x:c>
      <x:c r="C89" s="89" t="str">
        <x:v>Branch</x:v>
      </x:c>
      <x:c r="D89" s="89" t="str">
        <x:v>Aegean</x:v>
      </x:c>
      <x:c r="E89" s="89" t="str">
        <x:v>Self-employed</x:v>
      </x:c>
      <x:c r="F89" s="101" t="n">
        <x:v>41690.14</x:v>
      </x:c>
      <x:c r="G89" s="101" t="n">
        <x:v>52694.6</x:v>
      </x:c>
      <x:c r="H89" s="67" t="n">
        <x:v>0.22566</x:v>
      </x:c>
      <x:c r="I89" s="73" t="n">
        <x:v>718</x:v>
      </x:c>
      <x:c r="J89" s="67" t="n">
        <x:v>0.03777412744729173</x:v>
      </x:c>
      <x:c r="K89" s="73" t="n">
        <x:v>725</x:v>
      </x:c>
      <x:c r="L89" s="89" t="str">
        <x:v>B</x:v>
      </x:c>
      <x:c r="M89" s="89" t="str">
        <x:v>APPROVE_RECOMMENDATION</x:v>
      </x:c>
      <x:c r="N89" s="101" t="n">
        <x:v>895.7216412828263</x:v>
      </x:c>
      <x:c r="O89" s="73" t="n">
        <x:v>0</x:v>
      </x:c>
    </x:row>
    <x:row r="90">
      <x:c r="A90" s="89" t="str">
        <x:v>APP-0022771</x:v>
      </x:c>
      <x:c r="B90" s="89" t="str">
        <x:v>2025-01-03</x:v>
      </x:c>
      <x:c r="C90" s="89" t="str">
        <x:v>Mobile</x:v>
      </x:c>
      <x:c r="D90" s="89" t="str">
        <x:v>Black Sea</x:v>
      </x:c>
      <x:c r="E90" s="89" t="str">
        <x:v>Salaried</x:v>
      </x:c>
      <x:c r="F90" s="101" t="n">
        <x:v>39472.65</x:v>
      </x:c>
      <x:c r="G90" s="101" t="n">
        <x:v>31488.42</x:v>
      </x:c>
      <x:c r="H90" s="67" t="n">
        <x:v>0.54458</x:v>
      </x:c>
      <x:c r="I90" s="73" t="n">
        <x:v>712</x:v>
      </x:c>
      <x:c r="J90" s="67" t="n">
        <x:v>0.0880016010672212</x:v>
      </x:c>
      <x:c r="K90" s="73" t="n">
        <x:v>660</x:v>
      </x:c>
      <x:c r="L90" s="89" t="str">
        <x:v>C</x:v>
      </x:c>
      <x:c r="M90" s="89" t="str">
        <x:v>APPROVE_RECOMMENDATION</x:v>
      </x:c>
      <x:c r="N90" s="101" t="n">
        <x:v>1246.9641187846992</x:v>
      </x:c>
      <x:c r="O90" s="73" t="n">
        <x:v>0</x:v>
      </x:c>
    </x:row>
    <x:row r="91">
      <x:c r="A91" s="89" t="str">
        <x:v>APP-0023868</x:v>
      </x:c>
      <x:c r="B91" s="89" t="str">
        <x:v>2025-01-03</x:v>
      </x:c>
      <x:c r="C91" s="89" t="str">
        <x:v>Partner</x:v>
      </x:c>
      <x:c r="D91" s="89" t="str">
        <x:v>Central Anatolia</x:v>
      </x:c>
      <x:c r="E91" s="89" t="str">
        <x:v>Contract</x:v>
      </x:c>
      <x:c r="F91" s="101" t="n">
        <x:v>25930.01</x:v>
      </x:c>
      <x:c r="G91" s="101" t="n">
        <x:v>12556.77</x:v>
      </x:c>
      <x:c r="H91" s="67" t="n">
        <x:v>0.28424</x:v>
      </x:c>
      <x:c r="I91" s="73" t="n">
        <x:v>621</x:v>
      </x:c>
      <x:c r="J91" s="67" t="n">
        <x:v>0.480863428345001</x:v>
      </x:c>
      <x:c r="K91" s="73" t="n">
        <x:v>497</x:v>
      </x:c>
      <x:c r="L91" s="89" t="str">
        <x:v>F</x:v>
      </x:c>
      <x:c r="M91" s="89" t="str">
        <x:v>DECLINE_RECOMMENDATION</x:v>
      </x:c>
      <x:c r="N91" s="101" t="n">
        <x:v>2717.1411620128465</x:v>
      </x:c>
      <x:c r="O91" s="73" t="n">
        <x:v>1</x:v>
      </x:c>
    </x:row>
    <x:row r="92">
      <x:c r="A92" s="89" t="str">
        <x:v>APP-0024756</x:v>
      </x:c>
      <x:c r="B92" s="89" t="str">
        <x:v>2025-01-03</x:v>
      </x:c>
      <x:c r="C92" s="89" t="str">
        <x:v>Mobile</x:v>
      </x:c>
      <x:c r="D92" s="89" t="str">
        <x:v>Aegean</x:v>
      </x:c>
      <x:c r="E92" s="89" t="str">
        <x:v>Contract</x:v>
      </x:c>
      <x:c r="F92" s="101" t="n">
        <x:v>36722.86</x:v>
      </x:c>
      <x:c r="G92" s="101" t="n">
        <x:v>102908.23</x:v>
      </x:c>
      <x:c r="H92" s="67" t="n">
        <x:v>0.33552</x:v>
      </x:c>
      <x:c r="I92" s="73" t="n">
        <x:v>735</x:v>
      </x:c>
      <x:c r="J92" s="67" t="n">
        <x:v>0.0783271955095543</x:v>
      </x:c>
      <x:c r="K92" s="73" t="n">
        <x:v>669</x:v>
      </x:c>
      <x:c r="L92" s="89" t="str">
        <x:v>C</x:v>
      </x:c>
      <x:c r="M92" s="89" t="str">
        <x:v>APPROVE_RECOMMENDATION</x:v>
      </x:c>
      <x:c r="N92" s="101" t="n">
        <x:v>3627.230872838482</x:v>
      </x:c>
      <x:c r="O92" s="73" t="n">
        <x:v>0</x:v>
      </x:c>
    </x:row>
    <x:row r="93">
      <x:c r="A93" s="89" t="str">
        <x:v>APP-0025021</x:v>
      </x:c>
      <x:c r="B93" s="89" t="str">
        <x:v>2025-01-03</x:v>
      </x:c>
      <x:c r="C93" s="89" t="str">
        <x:v>Partner</x:v>
      </x:c>
      <x:c r="D93" s="89" t="str">
        <x:v>Marmara</x:v>
      </x:c>
      <x:c r="E93" s="89" t="str">
        <x:v>Self-employed</x:v>
      </x:c>
      <x:c r="F93" s="101" t="n">
        <x:v>37189.41</x:v>
      </x:c>
      <x:c r="G93" s="101" t="n">
        <x:v>84179.78</x:v>
      </x:c>
      <x:c r="H93" s="67" t="n">
        <x:v>0.20437</x:v>
      </x:c>
      <x:c r="I93" s="73" t="n">
        <x:v>697</x:v>
      </x:c>
      <x:c r="J93" s="67" t="n">
        <x:v>0.03301587834689558</x:v>
      </x:c>
      <x:c r="K93" s="73" t="n">
        <x:v>735</x:v>
      </x:c>
      <x:c r="L93" s="89" t="str">
        <x:v>B</x:v>
      </x:c>
      <x:c r="M93" s="89" t="str">
        <x:v>APPROVE_RECOMMENDATION</x:v>
      </x:c>
      <x:c r="N93" s="101" t="n">
        <x:v>1250.6712190867952</x:v>
      </x:c>
      <x:c r="O93" s="73" t="n">
        <x:v>0</x:v>
      </x:c>
    </x:row>
    <x:row r="94">
      <x:c r="A94" s="89" t="str">
        <x:v>APP-0026781</x:v>
      </x:c>
      <x:c r="B94" s="89" t="str">
        <x:v>2025-01-03</x:v>
      </x:c>
      <x:c r="C94" s="89" t="str">
        <x:v>Mobile</x:v>
      </x:c>
      <x:c r="D94" s="89" t="str">
        <x:v>Aegean</x:v>
      </x:c>
      <x:c r="E94" s="89" t="str">
        <x:v>Self-employed</x:v>
      </x:c>
      <x:c r="F94" s="101" t="n">
        <x:v>78636.73</x:v>
      </x:c>
      <x:c r="G94" s="101" t="n">
        <x:v>40192.24</x:v>
      </x:c>
      <x:c r="H94" s="67" t="n">
        <x:v>0.16241</x:v>
      </x:c>
      <x:c r="I94" s="73" t="n">
        <x:v>694</x:v>
      </x:c>
      <x:c r="J94" s="67" t="n">
        <x:v>0.054682776337366124</x:v>
      </x:c>
      <x:c r="K94" s="73" t="n">
        <x:v>697</x:v>
      </x:c>
      <x:c r="L94" s="89" t="str">
        <x:v>B</x:v>
      </x:c>
      <x:c r="M94" s="89" t="str">
        <x:v>APPROVE_RECOMMENDATION</x:v>
      </x:c>
      <x:c r="N94" s="101" t="n">
        <x:v>989.020471687983</x:v>
      </x:c>
      <x:c r="O94" s="73" t="n">
        <x:v>1</x:v>
      </x:c>
    </x:row>
    <x:row r="95">
      <x:c r="A95" s="89" t="str">
        <x:v>APP-0026836</x:v>
      </x:c>
      <x:c r="B95" s="89" t="str">
        <x:v>2025-01-03</x:v>
      </x:c>
      <x:c r="C95" s="89" t="str">
        <x:v>Web</x:v>
      </x:c>
      <x:c r="D95" s="89" t="str">
        <x:v>Aegean</x:v>
      </x:c>
      <x:c r="E95" s="89" t="str">
        <x:v>Salaried</x:v>
      </x:c>
      <x:c r="F95" s="101" t="n">
        <x:v>37079.76</x:v>
      </x:c>
      <x:c r="G95" s="101" t="n">
        <x:v>14329.95</x:v>
      </x:c>
      <x:c r="H95" s="67" t="n">
        <x:v>0.27919</x:v>
      </x:c>
      <x:c r="I95" s="73" t="n">
        <x:v>701</x:v>
      </x:c>
      <x:c r="J95" s="67" t="n">
        <x:v>0.06318643660513576</x:v>
      </x:c>
      <x:c r="K95" s="73" t="n">
        <x:v>686</x:v>
      </x:c>
      <x:c r="L95" s="89" t="str">
        <x:v>C</x:v>
      </x:c>
      <x:c r="M95" s="89" t="str">
        <x:v>APPROVE_RECOMMENDATION</x:v>
      </x:c>
      <x:c r="N95" s="101" t="n">
        <x:v>407.4563147533944</x:v>
      </x:c>
      <x:c r="O95" s="73" t="n">
        <x:v>0</x:v>
      </x:c>
    </x:row>
    <x:row r="96">
      <x:c r="A96" s="89" t="str">
        <x:v>APP-0027887</x:v>
      </x:c>
      <x:c r="B96" s="89" t="str">
        <x:v>2025-01-03</x:v>
      </x:c>
      <x:c r="C96" s="89" t="str">
        <x:v>Mobile</x:v>
      </x:c>
      <x:c r="D96" s="89" t="str">
        <x:v>Marmara</x:v>
      </x:c>
      <x:c r="E96" s="89" t="str">
        <x:v>Salaried</x:v>
      </x:c>
      <x:c r="F96" s="101" t="n">
        <x:v>49719.28</x:v>
      </x:c>
      <x:c r="G96" s="101" t="n">
        <x:v>22765.62</x:v>
      </x:c>
      <x:c r="H96" s="67" t="n">
        <x:v>0.50041</x:v>
      </x:c>
      <x:c r="I96" s="73" t="n">
        <x:v>685</x:v>
      </x:c>
      <x:c r="J96" s="67" t="n">
        <x:v>0.16686457077120437</x:v>
      </x:c>
      <x:c r="K96" s="73" t="n">
        <x:v>607</x:v>
      </x:c>
      <x:c r="L96" s="89" t="str">
        <x:v>E</x:v>
      </x:c>
      <x:c r="M96" s="89" t="str">
        <x:v>REFER</x:v>
      </x:c>
      <x:c r="N96" s="101" t="n">
        <x:v>1709.4489343381554</x:v>
      </x:c>
      <x:c r="O96" s="73" t="n">
        <x:v>0</x:v>
      </x:c>
    </x:row>
    <x:row r="97">
      <x:c r="A97" s="89" t="str">
        <x:v>APP-0029119</x:v>
      </x:c>
      <x:c r="B97" s="89" t="str">
        <x:v>2025-01-03</x:v>
      </x:c>
      <x:c r="C97" s="89" t="str">
        <x:v>Mobile</x:v>
      </x:c>
      <x:c r="D97" s="89" t="str">
        <x:v>Marmara</x:v>
      </x:c>
      <x:c r="E97" s="89" t="str">
        <x:v>Salaried</x:v>
      </x:c>
      <x:c r="F97" s="101" t="n">
        <x:v>33095.11</x:v>
      </x:c>
      <x:c r="G97" s="101" t="n">
        <x:v>48510.48</x:v>
      </x:c>
      <x:c r="H97" s="67" t="n">
        <x:v>0.23266</x:v>
      </x:c>
      <x:c r="I97" s="73" t="n">
        <x:v>663</x:v>
      </x:c>
      <x:c r="J97" s="67" t="n">
        <x:v>0.0790389221190821</x:v>
      </x:c>
      <x:c r="K97" s="73" t="n">
        <x:v>669</x:v>
      </x:c>
      <x:c r="L97" s="89" t="str">
        <x:v>C</x:v>
      </x:c>
      <x:c r="M97" s="89" t="str">
        <x:v>APPROVE_RECOMMENDATION</x:v>
      </x:c>
      <x:c r="N97" s="101" t="n">
        <x:v>1725.3972228056807</x:v>
      </x:c>
      <x:c r="O97" s="73" t="n">
        <x:v>0</x:v>
      </x:c>
    </x:row>
    <x:row r="98">
      <x:c r="A98" s="89" t="str">
        <x:v>APP-0036152</x:v>
      </x:c>
      <x:c r="B98" s="89" t="str">
        <x:v>2025-01-03</x:v>
      </x:c>
      <x:c r="C98" s="89" t="str">
        <x:v>Partner</x:v>
      </x:c>
      <x:c r="D98" s="89" t="str">
        <x:v>Mediterranean</x:v>
      </x:c>
      <x:c r="E98" s="89" t="str">
        <x:v>Salaried</x:v>
      </x:c>
      <x:c r="F98" s="101" t="n">
        <x:v>34359.15</x:v>
      </x:c>
      <x:c r="G98" s="101" t="n">
        <x:v>49784.23</x:v>
      </x:c>
      <x:c r="H98" s="67" t="n">
        <x:v>0.2308</x:v>
      </x:c>
      <x:c r="I98" s="73" t="n">
        <x:v>649</x:v>
      </x:c>
      <x:c r="J98" s="67" t="n">
        <x:v>0.07357462129463341</x:v>
      </x:c>
      <x:c r="K98" s="73" t="n">
        <x:v>674</x:v>
      </x:c>
      <x:c r="L98" s="89" t="str">
        <x:v>C</x:v>
      </x:c>
      <x:c r="M98" s="89" t="str">
        <x:v>APPROVE_RECOMMENDATION</x:v>
      </x:c>
      <x:c r="N98" s="101" t="n">
        <x:v>1648.2851409127175</x:v>
      </x:c>
      <x:c r="O98" s="73" t="n">
        <x:v>0</x:v>
      </x:c>
    </x:row>
    <x:row r="99">
      <x:c r="A99" s="89" t="str">
        <x:v>APP-0038334</x:v>
      </x:c>
      <x:c r="B99" s="89" t="str">
        <x:v>2025-01-03</x:v>
      </x:c>
      <x:c r="C99" s="89" t="str">
        <x:v>Mobile</x:v>
      </x:c>
      <x:c r="D99" s="89" t="str">
        <x:v>Aegean</x:v>
      </x:c>
      <x:c r="E99" s="89" t="str">
        <x:v>Public sector</x:v>
      </x:c>
      <x:c r="F99" s="101" t="n">
        <x:v>33935.09</x:v>
      </x:c>
      <x:c r="G99" s="101" t="n">
        <x:v>29154.4</x:v>
      </x:c>
      <x:c r="H99" s="67" t="n">
        <x:v>0.27909</x:v>
      </x:c>
      <x:c r="I99" s="73" t="n">
        <x:v>666</x:v>
      </x:c>
      <x:c r="J99" s="67" t="n">
        <x:v>0.19903408591879276</x:v>
      </x:c>
      <x:c r="K99" s="73" t="n">
        <x:v>592</x:v>
      </x:c>
      <x:c r="L99" s="89" t="str">
        <x:v>E</x:v>
      </x:c>
      <x:c r="M99" s="89" t="str">
        <x:v>REFER</x:v>
      </x:c>
      <x:c r="N99" s="101" t="n">
        <x:v>2611.2237095298833</x:v>
      </x:c>
      <x:c r="O99" s="73" t="n">
        <x:v>0</x:v>
      </x:c>
    </x:row>
    <x:row r="100">
      <x:c r="A100" s="89" t="str">
        <x:v>APP-0040846</x:v>
      </x:c>
      <x:c r="B100" s="89" t="str">
        <x:v>2025-01-03</x:v>
      </x:c>
      <x:c r="C100" s="89" t="str">
        <x:v>Mobile</x:v>
      </x:c>
      <x:c r="D100" s="89" t="str">
        <x:v>Black Sea</x:v>
      </x:c>
      <x:c r="E100" s="89" t="str">
        <x:v>Public sector</x:v>
      </x:c>
      <x:c r="F100" s="101" t="n">
        <x:v>61560.23</x:v>
      </x:c>
      <x:c r="G100" s="101" t="n">
        <x:v>28142.99</x:v>
      </x:c>
      <x:c r="H100" s="67" t="n">
        <x:v>0.22686</x:v>
      </x:c>
      <x:c r="I100" s="73" t="n">
        <x:v>575</x:v>
      </x:c>
      <x:c r="J100" s="67" t="n">
        <x:v>0.41713205667086023</x:v>
      </x:c>
      <x:c r="K100" s="73" t="n">
        <x:v>516</x:v>
      </x:c>
      <x:c r="L100" s="89" t="str">
        <x:v>F</x:v>
      </x:c>
      <x:c r="M100" s="89" t="str">
        <x:v>DECLINE_RECOMMENDATION</x:v>
      </x:c>
      <x:c r="N100" s="101" t="n">
        <x:v>5282.704484805354</x:v>
      </x:c>
      <x:c r="O100" s="73" t="n">
        <x:v>0</x:v>
      </x:c>
    </x:row>
    <x:row r="101">
      <x:c r="A101" s="89" t="str">
        <x:v>APP-0041332</x:v>
      </x:c>
      <x:c r="B101" s="89" t="str">
        <x:v>2025-01-03</x:v>
      </x:c>
      <x:c r="C101" s="89" t="str">
        <x:v>Branch</x:v>
      </x:c>
      <x:c r="D101" s="89" t="str">
        <x:v>Black Sea</x:v>
      </x:c>
      <x:c r="E101" s="89" t="str">
        <x:v>Public sector</x:v>
      </x:c>
      <x:c r="F101" s="101" t="n">
        <x:v>67732.16</x:v>
      </x:c>
      <x:c r="G101" s="101" t="n">
        <x:v>22438.51</x:v>
      </x:c>
      <x:c r="H101" s="67" t="n">
        <x:v>0.38923</x:v>
      </x:c>
      <x:c r="I101" s="73" t="n">
        <x:v>696</x:v>
      </x:c>
      <x:c r="J101" s="67" t="n">
        <x:v>0.0800870374170016</x:v>
      </x:c>
      <x:c r="K101" s="73" t="n">
        <x:v>668</x:v>
      </x:c>
      <x:c r="L101" s="89" t="str">
        <x:v>C</x:v>
      </x:c>
      <x:c r="M101" s="89" t="str">
        <x:v>APPROVE_RECOMMENDATION</x:v>
      </x:c>
      <x:c r="N101" s="101" t="n">
        <x:v>808.6652054782941</x:v>
      </x:c>
      <x:c r="O101" s="73" t="n">
        <x:v>0</x:v>
      </x:c>
    </x:row>
    <x:row r="102">
      <x:c r="A102" s="89" t="str">
        <x:v>APP-0043192</x:v>
      </x:c>
      <x:c r="B102" s="89" t="str">
        <x:v>2025-01-03</x:v>
      </x:c>
      <x:c r="C102" s="89" t="str">
        <x:v>Mobile</x:v>
      </x:c>
      <x:c r="D102" s="89" t="str">
        <x:v>Marmara</x:v>
      </x:c>
      <x:c r="E102" s="89" t="str">
        <x:v>Public sector</x:v>
      </x:c>
      <x:c r="F102" s="101" t="n">
        <x:v>23878.57</x:v>
      </x:c>
      <x:c r="G102" s="101" t="n">
        <x:v>10000</x:v>
      </x:c>
      <x:c r="H102" s="67" t="n">
        <x:v>0.11521</x:v>
      </x:c>
      <x:c r="I102" s="73" t="n">
        <x:v>712</x:v>
      </x:c>
      <x:c r="J102" s="67" t="n">
        <x:v>0.03963682810723201</x:v>
      </x:c>
      <x:c r="K102" s="73" t="n">
        <x:v>721</x:v>
      </x:c>
      <x:c r="L102" s="89" t="str">
        <x:v>B</x:v>
      </x:c>
      <x:c r="M102" s="89" t="str">
        <x:v>APPROVE_RECOMMENDATION</x:v>
      </x:c>
      <x:c r="N102" s="101" t="n">
        <x:v>178.36572648254403</x:v>
      </x:c>
      <x:c r="O102" s="73" t="n">
        <x:v>0</x:v>
      </x:c>
    </x:row>
    <x:row r="103">
      <x:c r="A103" s="89" t="str">
        <x:v>APP-0043934</x:v>
      </x:c>
      <x:c r="B103" s="89" t="str">
        <x:v>2025-01-03</x:v>
      </x:c>
      <x:c r="C103" s="89" t="str">
        <x:v>Mobile</x:v>
      </x:c>
      <x:c r="D103" s="89" t="str">
        <x:v>Marmara</x:v>
      </x:c>
      <x:c r="E103" s="89" t="str">
        <x:v>Self-employed</x:v>
      </x:c>
      <x:c r="F103" s="101" t="n">
        <x:v>44473.36</x:v>
      </x:c>
      <x:c r="G103" s="101" t="n">
        <x:v>27555.05</x:v>
      </x:c>
      <x:c r="H103" s="67" t="n">
        <x:v>0.22423</x:v>
      </x:c>
      <x:c r="I103" s="73" t="n">
        <x:v>614</x:v>
      </x:c>
      <x:c r="J103" s="67" t="n">
        <x:v>0.3562885233009306</x:v>
      </x:c>
      <x:c r="K103" s="73" t="n">
        <x:v>534</x:v>
      </x:c>
      <x:c r="L103" s="89" t="str">
        <x:v>F</x:v>
      </x:c>
      <x:c r="M103" s="89" t="str">
        <x:v>DECLINE_RECOMMENDATION</x:v>
      </x:c>
      <x:c r="N103" s="101" t="n">
        <x:v>4417.896633292488</x:v>
      </x:c>
      <x:c r="O103" s="73" t="n">
        <x:v>1</x:v>
      </x:c>
    </x:row>
    <x:row r="104">
      <x:c r="A104" s="89" t="str">
        <x:v>APP-0044067</x:v>
      </x:c>
      <x:c r="B104" s="89" t="str">
        <x:v>2025-01-03</x:v>
      </x:c>
      <x:c r="C104" s="89" t="str">
        <x:v>Mobile</x:v>
      </x:c>
      <x:c r="D104" s="89" t="str">
        <x:v>Aegean</x:v>
      </x:c>
      <x:c r="E104" s="89" t="str">
        <x:v>Salaried</x:v>
      </x:c>
      <x:c r="F104" s="101" t="n">
        <x:v>84761.77</x:v>
      </x:c>
      <x:c r="G104" s="101" t="n">
        <x:v>137195.79</x:v>
      </x:c>
      <x:c r="H104" s="67" t="n">
        <x:v>0.23617</x:v>
      </x:c>
      <x:c r="I104" s="73" t="n">
        <x:v>678</x:v>
      </x:c>
      <x:c r="J104" s="67" t="n">
        <x:v>0.13914999673662454</x:v>
      </x:c>
      <x:c r="K104" s="73" t="n">
        <x:v>623</x:v>
      </x:c>
      <x:c r="L104" s="89" t="str">
        <x:v>D</x:v>
      </x:c>
      <x:c r="M104" s="89" t="str">
        <x:v>REFER</x:v>
      </x:c>
      <x:c r="N104" s="101" t="n">
        <x:v>8590.857178850383</x:v>
      </x:c>
      <x:c r="O104" s="73" t="n">
        <x:v>0</x:v>
      </x:c>
    </x:row>
    <x:row r="105">
      <x:c r="A105" s="89" t="str">
        <x:v>APP-0044497</x:v>
      </x:c>
      <x:c r="B105" s="89" t="str">
        <x:v>2025-01-03</x:v>
      </x:c>
      <x:c r="C105" s="89" t="str">
        <x:v>Partner</x:v>
      </x:c>
      <x:c r="D105" s="89" t="str">
        <x:v>Central Anatolia</x:v>
      </x:c>
      <x:c r="E105" s="89" t="str">
        <x:v>Public sector</x:v>
      </x:c>
      <x:c r="F105" s="101" t="n">
        <x:v>59985.5</x:v>
      </x:c>
      <x:c r="G105" s="101" t="n">
        <x:v>21557.45</x:v>
      </x:c>
      <x:c r="H105" s="67" t="n">
        <x:v>0.60066</x:v>
      </x:c>
      <x:c r="I105" s="73" t="n">
        <x:v>757</x:v>
      </x:c>
      <x:c r="J105" s="67" t="n">
        <x:v>0.0513053443017823</x:v>
      </x:c>
      <x:c r="K105" s="73" t="n">
        <x:v>702</x:v>
      </x:c>
      <x:c r="L105" s="89" t="str">
        <x:v>B</x:v>
      </x:c>
      <x:c r="M105" s="89" t="str">
        <x:v>APPROVE_RECOMMENDATION</x:v>
      </x:c>
      <x:c r="N105" s="101" t="n">
        <x:v>497.7055775333056</x:v>
      </x:c>
      <x:c r="O105" s="73" t="n">
        <x:v>0</x:v>
      </x:c>
    </x:row>
    <x:row r="106">
      <x:c r="A106" s="89" t="str">
        <x:v>APP-0045561</x:v>
      </x:c>
      <x:c r="B106" s="89" t="str">
        <x:v>2025-01-03</x:v>
      </x:c>
      <x:c r="C106" s="89" t="str">
        <x:v>Web</x:v>
      </x:c>
      <x:c r="D106" s="89" t="str">
        <x:v>Marmara</x:v>
      </x:c>
      <x:c r="E106" s="89" t="str">
        <x:v>Salaried</x:v>
      </x:c>
      <x:c r="F106" s="101" t="n">
        <x:v>33857.57</x:v>
      </x:c>
      <x:c r="G106" s="101" t="n">
        <x:v>10000</x:v>
      </x:c>
      <x:c r="H106" s="67" t="n">
        <x:v>0.42412</x:v>
      </x:c>
      <x:c r="I106" s="73" t="n">
        <x:v>700</x:v>
      </x:c>
      <x:c r="J106" s="67" t="n">
        <x:v>0.17017978591684632</x:v>
      </x:c>
      <x:c r="K106" s="73" t="n">
        <x:v>606</x:v>
      </x:c>
      <x:c r="L106" s="89" t="str">
        <x:v>E</x:v>
      </x:c>
      <x:c r="M106" s="89" t="str">
        <x:v>REFER</x:v>
      </x:c>
      <x:c r="N106" s="101" t="n">
        <x:v>765.8090366258084</x:v>
      </x:c>
      <x:c r="O106" s="73" t="n">
        <x:v>1</x:v>
      </x:c>
    </x:row>
    <x:row r="107">
      <x:c r="A107" s="89" t="str">
        <x:v>APP-0046692</x:v>
      </x:c>
      <x:c r="B107" s="89" t="str">
        <x:v>2025-01-03</x:v>
      </x:c>
      <x:c r="C107" s="89" t="str">
        <x:v>Mobile</x:v>
      </x:c>
      <x:c r="D107" s="89" t="str">
        <x:v>Aegean</x:v>
      </x:c>
      <x:c r="E107" s="89" t="str">
        <x:v>Self-employed</x:v>
      </x:c>
      <x:c r="F107" s="101" t="n">
        <x:v>32490.25</x:v>
      </x:c>
      <x:c r="G107" s="101" t="n">
        <x:v>10000</x:v>
      </x:c>
      <x:c r="H107" s="67" t="n">
        <x:v>0.64736</x:v>
      </x:c>
      <x:c r="I107" s="73" t="n">
        <x:v>639</x:v>
      </x:c>
      <x:c r="J107" s="67" t="n">
        <x:v>0.4640898629320375</x:v>
      </x:c>
      <x:c r="K107" s="73" t="n">
        <x:v>502</x:v>
      </x:c>
      <x:c r="L107" s="89" t="str">
        <x:v>F</x:v>
      </x:c>
      <x:c r="M107" s="89" t="str">
        <x:v>DECLINE_RECOMMENDATION</x:v>
      </x:c>
      <x:c r="N107" s="101" t="n">
        <x:v>2088.404383194169</x:v>
      </x:c>
      <x:c r="O107" s="73" t="n">
        <x:v>0</x:v>
      </x:c>
    </x:row>
    <x:row r="108">
      <x:c r="A108" s="89" t="str">
        <x:v>APP-0047821</x:v>
      </x:c>
      <x:c r="B108" s="89" t="str">
        <x:v>2025-01-03</x:v>
      </x:c>
      <x:c r="C108" s="89" t="str">
        <x:v>Web</x:v>
      </x:c>
      <x:c r="D108" s="89" t="str">
        <x:v>Black Sea</x:v>
      </x:c>
      <x:c r="E108" s="89" t="str">
        <x:v>Public sector</x:v>
      </x:c>
      <x:c r="F108" s="101" t="n">
        <x:v>48386.02</x:v>
      </x:c>
      <x:c r="G108" s="101" t="n">
        <x:v>40571.77</x:v>
      </x:c>
      <x:c r="H108" s="67" t="n">
        <x:v>0.47973</x:v>
      </x:c>
      <x:c r="I108" s="73" t="n">
        <x:v>704</x:v>
      </x:c>
      <x:c r="J108" s="67" t="n">
        <x:v>0.06705898940534331</x:v>
      </x:c>
      <x:c r="K108" s="73" t="n">
        <x:v>681</x:v>
      </x:c>
      <x:c r="L108" s="89" t="str">
        <x:v>C</x:v>
      </x:c>
      <x:c r="M108" s="89" t="str">
        <x:v>APPROVE_RECOMMENDATION</x:v>
      </x:c>
      <x:c r="N108" s="101" t="n">
        <x:v>1224.3158525637114</x:v>
      </x:c>
      <x:c r="O108" s="73" t="n">
        <x:v>0</x:v>
      </x:c>
    </x:row>
    <x:row r="109">
      <x:c r="A109" s="89" t="str">
        <x:v>APP-0000491</x:v>
      </x:c>
      <x:c r="B109" s="89" t="str">
        <x:v>2025-01-04</x:v>
      </x:c>
      <x:c r="C109" s="89" t="str">
        <x:v>Web</x:v>
      </x:c>
      <x:c r="D109" s="89" t="str">
        <x:v>Black Sea</x:v>
      </x:c>
      <x:c r="E109" s="89" t="str">
        <x:v>Contract</x:v>
      </x:c>
      <x:c r="F109" s="101" t="n">
        <x:v>64158.59</x:v>
      </x:c>
      <x:c r="G109" s="101" t="n">
        <x:v>14940.49</x:v>
      </x:c>
      <x:c r="H109" s="67" t="n">
        <x:v>0.27691</x:v>
      </x:c>
      <x:c r="I109" s="73" t="n">
        <x:v>712</x:v>
      </x:c>
      <x:c r="J109" s="67" t="n">
        <x:v>0.08780501584347465</x:v>
      </x:c>
      <x:c r="K109" s="73" t="n">
        <x:v>660</x:v>
      </x:c>
      <x:c r="L109" s="89" t="str">
        <x:v>C</x:v>
      </x:c>
      <x:c r="M109" s="89" t="str">
        <x:v>APPROVE_RECOMMENDATION</x:v>
      </x:c>
      <x:c r="N109" s="101" t="n">
        <x:v>590.3324825216736</x:v>
      </x:c>
      <x:c r="O109" s="73" t="n">
        <x:v>0</x:v>
      </x:c>
    </x:row>
    <x:row r="110">
      <x:c r="A110" s="89" t="str">
        <x:v>APP-0001168</x:v>
      </x:c>
      <x:c r="B110" s="89" t="str">
        <x:v>2025-01-04</x:v>
      </x:c>
      <x:c r="C110" s="89" t="str">
        <x:v>Mobile</x:v>
      </x:c>
      <x:c r="D110" s="89" t="str">
        <x:v>Central Anatolia</x:v>
      </x:c>
      <x:c r="E110" s="89" t="str">
        <x:v>Salaried</x:v>
      </x:c>
      <x:c r="F110" s="101" t="n">
        <x:v>52456.21</x:v>
      </x:c>
      <x:c r="G110" s="101" t="n">
        <x:v>10000</x:v>
      </x:c>
      <x:c r="H110" s="67" t="n">
        <x:v>0.16741</x:v>
      </x:c>
      <x:c r="I110" s="73" t="n">
        <x:v>735</x:v>
      </x:c>
      <x:c r="J110" s="67" t="n">
        <x:v>0.023279349344590337</x:v>
      </x:c>
      <x:c r="K110" s="73" t="n">
        <x:v>761</x:v>
      </x:c>
      <x:c r="L110" s="89" t="str">
        <x:v>A</x:v>
      </x:c>
      <x:c r="M110" s="89" t="str">
        <x:v>APPROVE_RECOMMENDATION</x:v>
      </x:c>
      <x:c r="N110" s="101" t="n">
        <x:v>104.7570720506565</x:v>
      </x:c>
      <x:c r="O110" s="73" t="n">
        <x:v>0</x:v>
      </x:c>
    </x:row>
    <x:row r="111">
      <x:c r="A111" s="89" t="str">
        <x:v>APP-0001423</x:v>
      </x:c>
      <x:c r="B111" s="89" t="str">
        <x:v>2025-01-04</x:v>
      </x:c>
      <x:c r="C111" s="89" t="str">
        <x:v>Web</x:v>
      </x:c>
      <x:c r="D111" s="89" t="str">
        <x:v>Aegean</x:v>
      </x:c>
      <x:c r="E111" s="89" t="str">
        <x:v>Self-employed</x:v>
      </x:c>
      <x:c r="F111" s="101" t="n">
        <x:v>48006.89</x:v>
      </x:c>
      <x:c r="G111" s="101" t="n">
        <x:v>48732.1</x:v>
      </x:c>
      <x:c r="H111" s="67" t="n">
        <x:v>0.16322</x:v>
      </x:c>
      <x:c r="I111" s="73" t="n">
        <x:v>710</x:v>
      </x:c>
      <x:c r="J111" s="67" t="n">
        <x:v>0.04420415838742119</x:v>
      </x:c>
      <x:c r="K111" s="73" t="n">
        <x:v>713</x:v>
      </x:c>
      <x:c r="L111" s="89" t="str">
        <x:v>B</x:v>
      </x:c>
      <x:c r="M111" s="89" t="str">
        <x:v>APPROVE_RECOMMENDATION</x:v>
      </x:c>
      <x:c r="N111" s="101" t="n">
        <x:v>969.3726601282417</x:v>
      </x:c>
      <x:c r="O111" s="73" t="n">
        <x:v>0</x:v>
      </x:c>
    </x:row>
    <x:row r="112">
      <x:c r="A112" s="89" t="str">
        <x:v>APP-0003287</x:v>
      </x:c>
      <x:c r="B112" s="89" t="str">
        <x:v>2025-01-04</x:v>
      </x:c>
      <x:c r="C112" s="89" t="str">
        <x:v>Branch</x:v>
      </x:c>
      <x:c r="D112" s="89" t="str">
        <x:v>Marmara</x:v>
      </x:c>
      <x:c r="E112" s="89" t="str">
        <x:v>Salaried</x:v>
      </x:c>
      <x:c r="F112" s="101" t="n">
        <x:v>41988.97</x:v>
      </x:c>
      <x:c r="G112" s="101" t="n">
        <x:v>10000</x:v>
      </x:c>
      <x:c r="H112" s="67" t="n">
        <x:v>0.19815</x:v>
      </x:c>
      <x:c r="I112" s="73" t="n">
        <x:v>740</x:v>
      </x:c>
      <x:c r="J112" s="67" t="n">
        <x:v>0.0536322024614926</x:v>
      </x:c>
      <x:c r="K112" s="73" t="n">
        <x:v>699</x:v>
      </x:c>
      <x:c r="L112" s="89" t="str">
        <x:v>B</x:v>
      </x:c>
      <x:c r="M112" s="89" t="str">
        <x:v>APPROVE_RECOMMENDATION</x:v>
      </x:c>
      <x:c r="N112" s="101" t="n">
        <x:v>241.3449110767167</x:v>
      </x:c>
      <x:c r="O112" s="73" t="n">
        <x:v>0</x:v>
      </x:c>
    </x:row>
    <x:row r="113">
      <x:c r="A113" s="89" t="str">
        <x:v>APP-0005129</x:v>
      </x:c>
      <x:c r="B113" s="89" t="str">
        <x:v>2025-01-04</x:v>
      </x:c>
      <x:c r="C113" s="89" t="str">
        <x:v>Web</x:v>
      </x:c>
      <x:c r="D113" s="89" t="str">
        <x:v>Aegean</x:v>
      </x:c>
      <x:c r="E113" s="89" t="str">
        <x:v>Self-employed</x:v>
      </x:c>
      <x:c r="F113" s="101" t="n">
        <x:v>19275.31</x:v>
      </x:c>
      <x:c r="G113" s="101" t="n">
        <x:v>10000</x:v>
      </x:c>
      <x:c r="H113" s="67" t="n">
        <x:v>0.25776</x:v>
      </x:c>
      <x:c r="I113" s="73" t="n">
        <x:v>709</x:v>
      </x:c>
      <x:c r="J113" s="67" t="n">
        <x:v>0.1430453046729243</x:v>
      </x:c>
      <x:c r="K113" s="73" t="n">
        <x:v>621</x:v>
      </x:c>
      <x:c r="L113" s="89" t="str">
        <x:v>D</x:v>
      </x:c>
      <x:c r="M113" s="89" t="str">
        <x:v>REFER</x:v>
      </x:c>
      <x:c r="N113" s="101" t="n">
        <x:v>643.7038710281594</x:v>
      </x:c>
      <x:c r="O113" s="73" t="n">
        <x:v>0</x:v>
      </x:c>
    </x:row>
    <x:row r="114">
      <x:c r="A114" s="89" t="str">
        <x:v>APP-0006159</x:v>
      </x:c>
      <x:c r="B114" s="89" t="str">
        <x:v>2025-01-04</x:v>
      </x:c>
      <x:c r="C114" s="89" t="str">
        <x:v>Partner</x:v>
      </x:c>
      <x:c r="D114" s="89" t="str">
        <x:v>Marmara</x:v>
      </x:c>
      <x:c r="E114" s="89" t="str">
        <x:v>Salaried</x:v>
      </x:c>
      <x:c r="F114" s="101" t="n">
        <x:v>61376.65</x:v>
      </x:c>
      <x:c r="G114" s="101" t="n">
        <x:v>122314.65</x:v>
      </x:c>
      <x:c r="H114" s="67" t="n">
        <x:v>0.37416</x:v>
      </x:c>
      <x:c r="I114" s="73" t="n">
        <x:v>662</x:v>
      </x:c>
      <x:c r="J114" s="67" t="n">
        <x:v>0.2568281331410616</x:v>
      </x:c>
      <x:c r="K114" s="73" t="n">
        <x:v>568</x:v>
      </x:c>
      <x:c r="L114" s="89" t="str">
        <x:v>F</x:v>
      </x:c>
      <x:c r="M114" s="89" t="str">
        <x:v>DECLINE_RECOMMENDATION</x:v>
      </x:c>
      <x:c r="N114" s="101" t="n">
        <x:v>14136.229446886058</x:v>
      </x:c>
      <x:c r="O114" s="73" t="n">
        <x:v>0</x:v>
      </x:c>
    </x:row>
    <x:row r="115">
      <x:c r="A115" s="89" t="str">
        <x:v>APP-0006708</x:v>
      </x:c>
      <x:c r="B115" s="89" t="str">
        <x:v>2025-01-04</x:v>
      </x:c>
      <x:c r="C115" s="89" t="str">
        <x:v>Partner</x:v>
      </x:c>
      <x:c r="D115" s="89" t="str">
        <x:v>Mediterranean</x:v>
      </x:c>
      <x:c r="E115" s="89" t="str">
        <x:v>Contract</x:v>
      </x:c>
      <x:c r="F115" s="101" t="n">
        <x:v>62108.45</x:v>
      </x:c>
      <x:c r="G115" s="101" t="n">
        <x:v>61576.39</x:v>
      </x:c>
      <x:c r="H115" s="67" t="n">
        <x:v>0.32101</x:v>
      </x:c>
      <x:c r="I115" s="73" t="n">
        <x:v>654</x:v>
      </x:c>
      <x:c r="J115" s="67" t="n">
        <x:v>0.2635291114995867</x:v>
      </x:c>
      <x:c r="K115" s="73" t="n">
        <x:v>566</x:v>
      </x:c>
      <x:c r="L115" s="89" t="str">
        <x:v>F</x:v>
      </x:c>
      <x:c r="M115" s="89" t="str">
        <x:v>DECLINE_RECOMMENDATION</x:v>
      </x:c>
      <x:c r="N115" s="101" t="n">
        <x:v>7302.227105723416</x:v>
      </x:c>
      <x:c r="O115" s="73" t="n">
        <x:v>0</x:v>
      </x:c>
    </x:row>
    <x:row r="116">
      <x:c r="A116" s="89" t="str">
        <x:v>APP-0006850</x:v>
      </x:c>
      <x:c r="B116" s="89" t="str">
        <x:v>2025-01-04</x:v>
      </x:c>
      <x:c r="C116" s="89" t="str">
        <x:v>Web</x:v>
      </x:c>
      <x:c r="D116" s="89" t="str">
        <x:v>Marmara</x:v>
      </x:c>
      <x:c r="E116" s="89" t="str">
        <x:v>Salaried</x:v>
      </x:c>
      <x:c r="F116" s="101" t="n">
        <x:v>48885.04</x:v>
      </x:c>
      <x:c r="G116" s="101" t="n">
        <x:v>136130.47</x:v>
      </x:c>
      <x:c r="H116" s="67" t="n">
        <x:v>0.18697</x:v>
      </x:c>
      <x:c r="I116" s="73" t="n">
        <x:v>719</x:v>
      </x:c>
      <x:c r="J116" s="67" t="n">
        <x:v>0.04336825800575913</x:v>
      </x:c>
      <x:c r="K116" s="73" t="n">
        <x:v>715</x:v>
      </x:c>
      <x:c r="L116" s="89" t="str">
        <x:v>B</x:v>
      </x:c>
      <x:c r="M116" s="89" t="str">
        <x:v>APPROVE_RECOMMENDATION</x:v>
      </x:c>
      <x:c r="N116" s="101" t="n">
        <x:v>2656.683605432364</x:v>
      </x:c>
      <x:c r="O116" s="73" t="n">
        <x:v>0</x:v>
      </x:c>
    </x:row>
    <x:row r="117">
      <x:c r="A117" s="89" t="str">
        <x:v>APP-0008187</x:v>
      </x:c>
      <x:c r="B117" s="89" t="str">
        <x:v>2025-01-04</x:v>
      </x:c>
      <x:c r="C117" s="89" t="str">
        <x:v>Mobile</x:v>
      </x:c>
      <x:c r="D117" s="89" t="str">
        <x:v>Aegean</x:v>
      </x:c>
      <x:c r="E117" s="89" t="str">
        <x:v>Public sector</x:v>
      </x:c>
      <x:c r="F117" s="101" t="n">
        <x:v>105526.16</x:v>
      </x:c>
      <x:c r="G117" s="101" t="n">
        <x:v>127310.47</x:v>
      </x:c>
      <x:c r="H117" s="67" t="n">
        <x:v>0.15898</x:v>
      </x:c>
      <x:c r="I117" s="73" t="n">
        <x:v>671</x:v>
      </x:c>
      <x:c r="J117" s="67" t="n">
        <x:v>0.14619562450437776</x:v>
      </x:c>
      <x:c r="K117" s="73" t="n">
        <x:v>619</x:v>
      </x:c>
      <x:c r="L117" s="89" t="str">
        <x:v>D</x:v>
      </x:c>
      <x:c r="M117" s="89" t="str">
        <x:v>REFER</x:v>
      </x:c>
      <x:c r="N117" s="101" t="n">
        <x:v>8375.505150418132</x:v>
      </x:c>
      <x:c r="O117" s="73" t="n">
        <x:v>0</x:v>
      </x:c>
    </x:row>
    <x:row r="118">
      <x:c r="A118" s="89" t="str">
        <x:v>APP-0009417</x:v>
      </x:c>
      <x:c r="B118" s="89" t="str">
        <x:v>2025-01-04</x:v>
      </x:c>
      <x:c r="C118" s="89" t="str">
        <x:v>Web</x:v>
      </x:c>
      <x:c r="D118" s="89" t="str">
        <x:v>Black Sea</x:v>
      </x:c>
      <x:c r="E118" s="89" t="str">
        <x:v>Retired</x:v>
      </x:c>
      <x:c r="F118" s="101" t="n">
        <x:v>13016.44</x:v>
      </x:c>
      <x:c r="G118" s="101" t="n">
        <x:v>10000</x:v>
      </x:c>
      <x:c r="H118" s="67" t="n">
        <x:v>0.44745</x:v>
      </x:c>
      <x:c r="I118" s="73" t="n">
        <x:v>699</x:v>
      </x:c>
      <x:c r="J118" s="67" t="n">
        <x:v>0.10426938743319414</x:v>
      </x:c>
      <x:c r="K118" s="73" t="n">
        <x:v>647</x:v>
      </x:c>
      <x:c r="L118" s="89" t="str">
        <x:v>D</x:v>
      </x:c>
      <x:c r="M118" s="89" t="str">
        <x:v>REFER</x:v>
      </x:c>
      <x:c r="N118" s="101" t="n">
        <x:v>469.2122434493736</x:v>
      </x:c>
      <x:c r="O118" s="73" t="n">
        <x:v>0</x:v>
      </x:c>
    </x:row>
    <x:row r="119">
      <x:c r="A119" s="89" t="str">
        <x:v>APP-0010017</x:v>
      </x:c>
      <x:c r="B119" s="89" t="str">
        <x:v>2025-01-04</x:v>
      </x:c>
      <x:c r="C119" s="89" t="str">
        <x:v>Mobile</x:v>
      </x:c>
      <x:c r="D119" s="89" t="str">
        <x:v>Marmara</x:v>
      </x:c>
      <x:c r="E119" s="89" t="str">
        <x:v>Salaried</x:v>
      </x:c>
      <x:c r="F119" s="101" t="n">
        <x:v>17711.08</x:v>
      </x:c>
      <x:c r="G119" s="101" t="n">
        <x:v>11938.32</x:v>
      </x:c>
      <x:c r="H119" s="67" t="n">
        <x:v>0.13706</x:v>
      </x:c>
      <x:c r="I119" s="73" t="n">
        <x:v>663</x:v>
      </x:c>
      <x:c r="J119" s="67" t="n">
        <x:v>0.06282559093399732</x:v>
      </x:c>
      <x:c r="K119" s="73" t="n">
        <x:v>686</x:v>
      </x:c>
      <x:c r="L119" s="89" t="str">
        <x:v>C</x:v>
      </x:c>
      <x:c r="M119" s="89" t="str">
        <x:v>APPROVE_RECOMMENDATION</x:v>
      </x:c>
      <x:c r="N119" s="101" t="n">
        <x:v>337.51440394162154</x:v>
      </x:c>
      <x:c r="O119" s="73" t="n">
        <x:v>1</x:v>
      </x:c>
    </x:row>
    <x:row r="120">
      <x:c r="A120" s="89" t="str">
        <x:v>APP-0010235</x:v>
      </x:c>
      <x:c r="B120" s="89" t="str">
        <x:v>2025-01-04</x:v>
      </x:c>
      <x:c r="C120" s="89" t="str">
        <x:v>Branch</x:v>
      </x:c>
      <x:c r="D120" s="89" t="str">
        <x:v>Marmara</x:v>
      </x:c>
      <x:c r="E120" s="89" t="str">
        <x:v>Salaried</x:v>
      </x:c>
      <x:c r="F120" s="101" t="n">
        <x:v>19814.16</x:v>
      </x:c>
      <x:c r="G120" s="101" t="n">
        <x:v>10000</x:v>
      </x:c>
      <x:c r="H120" s="67" t="n">
        <x:v>0.12611</x:v>
      </x:c>
      <x:c r="I120" s="73" t="n">
        <x:v>651</x:v>
      </x:c>
      <x:c r="J120" s="67" t="n">
        <x:v>0.21512387503889183</x:v>
      </x:c>
      <x:c r="K120" s="73" t="n">
        <x:v>585</x:v>
      </x:c>
      <x:c r="L120" s="89" t="str">
        <x:v>E</x:v>
      </x:c>
      <x:c r="M120" s="89" t="str">
        <x:v>REFER</x:v>
      </x:c>
      <x:c r="N120" s="101" t="n">
        <x:v>968.0574376750133</x:v>
      </x:c>
      <x:c r="O120" s="73" t="n">
        <x:v>0</x:v>
      </x:c>
    </x:row>
    <x:row r="121">
      <x:c r="A121" s="89" t="str">
        <x:v>APP-0010675</x:v>
      </x:c>
      <x:c r="B121" s="89" t="str">
        <x:v>2025-01-04</x:v>
      </x:c>
      <x:c r="C121" s="89" t="str">
        <x:v>Branch</x:v>
      </x:c>
      <x:c r="D121" s="89" t="str">
        <x:v>Marmara</x:v>
      </x:c>
      <x:c r="E121" s="89" t="str">
        <x:v>Salaried</x:v>
      </x:c>
      <x:c r="F121" s="101" t="n">
        <x:v>21816.77</x:v>
      </x:c>
      <x:c r="G121" s="101" t="n">
        <x:v>28396.04</x:v>
      </x:c>
      <x:c r="H121" s="67" t="n">
        <x:v>0.25333</x:v>
      </x:c>
      <x:c r="I121" s="73" t="n">
        <x:v>683</x:v>
      </x:c>
      <x:c r="J121" s="67" t="n">
        <x:v>0.11779743001441569</x:v>
      </x:c>
      <x:c r="K121" s="73" t="n">
        <x:v>637</x:v>
      </x:c>
      <x:c r="L121" s="89" t="str">
        <x:v>D</x:v>
      </x:c>
      <x:c r="M121" s="89" t="str">
        <x:v>REFER</x:v>
      </x:c>
      <x:c r="N121" s="101" t="n">
        <x:v>1505.2412405639468</x:v>
      </x:c>
      <x:c r="O121" s="73" t="n">
        <x:v>0</x:v>
      </x:c>
    </x:row>
    <x:row r="122">
      <x:c r="A122" s="89" t="str">
        <x:v>APP-0011212</x:v>
      </x:c>
      <x:c r="B122" s="89" t="str">
        <x:v>2025-01-04</x:v>
      </x:c>
      <x:c r="C122" s="89" t="str">
        <x:v>Web</x:v>
      </x:c>
      <x:c r="D122" s="89" t="str">
        <x:v>Aegean</x:v>
      </x:c>
      <x:c r="E122" s="89" t="str">
        <x:v>Salaried</x:v>
      </x:c>
      <x:c r="F122" s="101" t="n">
        <x:v>38792.28</x:v>
      </x:c>
      <x:c r="G122" s="101" t="n">
        <x:v>95725.9</x:v>
      </x:c>
      <x:c r="H122" s="67" t="n">
        <x:v>0.36978</x:v>
      </x:c>
      <x:c r="I122" s="73" t="n">
        <x:v>637</x:v>
      </x:c>
      <x:c r="J122" s="67" t="n">
        <x:v>0.14435451129468704</x:v>
      </x:c>
      <x:c r="K122" s="73" t="n">
        <x:v>620</x:v>
      </x:c>
      <x:c r="L122" s="89" t="str">
        <x:v>D</x:v>
      </x:c>
      <x:c r="M122" s="89" t="str">
        <x:v>REFER</x:v>
      </x:c>
      <x:c r="N122" s="101" t="n">
        <x:v>6218.309480734837</x:v>
      </x:c>
      <x:c r="O122" s="73" t="n">
        <x:v>1</x:v>
      </x:c>
    </x:row>
    <x:row r="123">
      <x:c r="A123" s="89" t="str">
        <x:v>APP-0011296</x:v>
      </x:c>
      <x:c r="B123" s="89" t="str">
        <x:v>2025-01-04</x:v>
      </x:c>
      <x:c r="C123" s="89" t="str">
        <x:v>Branch</x:v>
      </x:c>
      <x:c r="D123" s="89" t="str">
        <x:v>Central Anatolia</x:v>
      </x:c>
      <x:c r="E123" s="89" t="str">
        <x:v>Self-employed</x:v>
      </x:c>
      <x:c r="F123" s="101" t="n">
        <x:v>99636.55</x:v>
      </x:c>
      <x:c r="G123" s="101" t="n">
        <x:v>117137.32</x:v>
      </x:c>
      <x:c r="H123" s="67" t="n">
        <x:v>0.28978</x:v>
      </x:c>
      <x:c r="I123" s="73" t="n">
        <x:v>652</x:v>
      </x:c>
      <x:c r="J123" s="67" t="n">
        <x:v>0.09296518195530139</x:v>
      </x:c>
      <x:c r="K123" s="73" t="n">
        <x:v>656</x:v>
      </x:c>
      <x:c r="L123" s="89" t="str">
        <x:v>C</x:v>
      </x:c>
      <x:c r="M123" s="89" t="str">
        <x:v>APPROVE_RECOMMENDATION</x:v>
      </x:c>
      <x:c r="N123" s="101" t="n">
        <x:v>4900.3615204003645</x:v>
      </x:c>
      <x:c r="O123" s="73" t="n">
        <x:v>0</x:v>
      </x:c>
    </x:row>
    <x:row r="124">
      <x:c r="A124" s="89" t="str">
        <x:v>APP-0013774</x:v>
      </x:c>
      <x:c r="B124" s="89" t="str">
        <x:v>2025-01-04</x:v>
      </x:c>
      <x:c r="C124" s="89" t="str">
        <x:v>Web</x:v>
      </x:c>
      <x:c r="D124" s="89" t="str">
        <x:v>Mediterranean</x:v>
      </x:c>
      <x:c r="E124" s="89" t="str">
        <x:v>Salaried</x:v>
      </x:c>
      <x:c r="F124" s="101" t="n">
        <x:v>43118.09</x:v>
      </x:c>
      <x:c r="G124" s="101" t="n">
        <x:v>20162.34</x:v>
      </x:c>
      <x:c r="H124" s="67" t="n">
        <x:v>0.37668</x:v>
      </x:c>
      <x:c r="I124" s="73" t="n">
        <x:v>682</x:v>
      </x:c>
      <x:c r="J124" s="67" t="n">
        <x:v>0.08268477228491826</x:v>
      </x:c>
      <x:c r="K124" s="73" t="n">
        <x:v>665</x:v>
      </x:c>
      <x:c r="L124" s="89" t="str">
        <x:v>C</x:v>
      </x:c>
      <x:c r="M124" s="89" t="str">
        <x:v>APPROVE_RECOMMENDATION</x:v>
      </x:c>
      <x:c r="N124" s="101" t="n">
        <x:v>750.2033212339945</x:v>
      </x:c>
      <x:c r="O124" s="73" t="n">
        <x:v>0</x:v>
      </x:c>
    </x:row>
    <x:row r="125">
      <x:c r="A125" s="89" t="str">
        <x:v>APP-0016711</x:v>
      </x:c>
      <x:c r="B125" s="89" t="str">
        <x:v>2025-01-04</x:v>
      </x:c>
      <x:c r="C125" s="89" t="str">
        <x:v>Mobile</x:v>
      </x:c>
      <x:c r="D125" s="89" t="str">
        <x:v>Marmara</x:v>
      </x:c>
      <x:c r="E125" s="89" t="str">
        <x:v>Salaried</x:v>
      </x:c>
      <x:c r="F125" s="101" t="n">
        <x:v>19619.29</x:v>
      </x:c>
      <x:c r="G125" s="101" t="n">
        <x:v>25376.02</x:v>
      </x:c>
      <x:c r="H125" s="67" t="n">
        <x:v>0.36645</x:v>
      </x:c>
      <x:c r="I125" s="73" t="n">
        <x:v>652</x:v>
      </x:c>
      <x:c r="J125" s="67" t="n">
        <x:v>0.16866104940211588</x:v>
      </x:c>
      <x:c r="K125" s="73" t="n">
        <x:v>607</x:v>
      </x:c>
      <x:c r="L125" s="89" t="str">
        <x:v>E</x:v>
      </x:c>
      <x:c r="M125" s="89" t="str">
        <x:v>REFER</x:v>
      </x:c>
      <x:c r="N125" s="101" t="n">
        <x:v>1925.9757732820863</x:v>
      </x:c>
      <x:c r="O125" s="73" t="n">
        <x:v>0</x:v>
      </x:c>
    </x:row>
    <x:row r="126">
      <x:c r="A126" s="89" t="str">
        <x:v>APP-0016988</x:v>
      </x:c>
      <x:c r="B126" s="89" t="str">
        <x:v>2025-01-04</x:v>
      </x:c>
      <x:c r="C126" s="89" t="str">
        <x:v>Mobile</x:v>
      </x:c>
      <x:c r="D126" s="89" t="str">
        <x:v>Marmara</x:v>
      </x:c>
      <x:c r="E126" s="89" t="str">
        <x:v>Salaried</x:v>
      </x:c>
      <x:c r="F126" s="101" t="n">
        <x:v>32229.21</x:v>
      </x:c>
      <x:c r="G126" s="101" t="n">
        <x:v>92222.05</x:v>
      </x:c>
      <x:c r="H126" s="67" t="n">
        <x:v>0.20974</x:v>
      </x:c>
      <x:c r="I126" s="73" t="n">
        <x:v>650</x:v>
      </x:c>
      <x:c r="J126" s="67" t="n">
        <x:v>0.072858799157552</x:v>
      </x:c>
      <x:c r="K126" s="73" t="n">
        <x:v>675</x:v>
      </x:c>
      <x:c r="L126" s="89" t="str">
        <x:v>C</x:v>
      </x:c>
      <x:c r="M126" s="89" t="str">
        <x:v>APPROVE_RECOMMENDATION</x:v>
      </x:c>
      <x:c r="N126" s="101" t="n">
        <x:v>3023.634518481473</x:v>
      </x:c>
      <x:c r="O126" s="73" t="n">
        <x:v>0</x:v>
      </x:c>
    </x:row>
    <x:row r="127">
      <x:c r="A127" s="89" t="str">
        <x:v>APP-0018373</x:v>
      </x:c>
      <x:c r="B127" s="89" t="str">
        <x:v>2025-01-04</x:v>
      </x:c>
      <x:c r="C127" s="89" t="str">
        <x:v>Web</x:v>
      </x:c>
      <x:c r="D127" s="89" t="str">
        <x:v>Mediterranean</x:v>
      </x:c>
      <x:c r="E127" s="89" t="str">
        <x:v>Salaried</x:v>
      </x:c>
      <x:c r="F127" s="101" t="n">
        <x:v>30510.73</x:v>
      </x:c>
      <x:c r="G127" s="101" t="n">
        <x:v>52970.45</x:v>
      </x:c>
      <x:c r="H127" s="67" t="n">
        <x:v>0.20031</x:v>
      </x:c>
      <x:c r="I127" s="73" t="n">
        <x:v>694</x:v>
      </x:c>
      <x:c r="J127" s="67" t="n">
        <x:v>0.17467744390516254</x:v>
      </x:c>
      <x:c r="K127" s="73" t="n">
        <x:v>604</x:v>
      </x:c>
      <x:c r="L127" s="89" t="str">
        <x:v>E</x:v>
      </x:c>
      <x:c r="M127" s="89" t="str">
        <x:v>REFER</x:v>
      </x:c>
      <x:c r="N127" s="101" t="n">
        <x:v>4163.734263827798</x:v>
      </x:c>
      <x:c r="O127" s="73" t="n">
        <x:v>1</x:v>
      </x:c>
    </x:row>
    <x:row r="128">
      <x:c r="A128" s="89" t="str">
        <x:v>APP-0018896</x:v>
      </x:c>
      <x:c r="B128" s="89" t="str">
        <x:v>2025-01-04</x:v>
      </x:c>
      <x:c r="C128" s="89" t="str">
        <x:v>Web</x:v>
      </x:c>
      <x:c r="D128" s="89" t="str">
        <x:v>Marmara</x:v>
      </x:c>
      <x:c r="E128" s="89" t="str">
        <x:v>Salaried</x:v>
      </x:c>
      <x:c r="F128" s="101" t="n">
        <x:v>30429.13</x:v>
      </x:c>
      <x:c r="G128" s="101" t="n">
        <x:v>41483.24</x:v>
      </x:c>
      <x:c r="H128" s="67" t="n">
        <x:v>0.12812</x:v>
      </x:c>
      <x:c r="I128" s="73" t="n">
        <x:v>702</x:v>
      </x:c>
      <x:c r="J128" s="67" t="n">
        <x:v>0.05168240169720447</x:v>
      </x:c>
      <x:c r="K128" s="73" t="n">
        <x:v>701</x:v>
      </x:c>
      <x:c r="L128" s="89" t="str">
        <x:v>B</x:v>
      </x:c>
      <x:c r="M128" s="89" t="str">
        <x:v>APPROVE_RECOMMENDATION</x:v>
      </x:c>
      <x:c r="N128" s="101" t="n">
        <x:v>964.7790630216932</x:v>
      </x:c>
      <x:c r="O128" s="73" t="n">
        <x:v>0</x:v>
      </x:c>
    </x:row>
    <x:row r="129">
      <x:c r="A129" s="89" t="str">
        <x:v>APP-0020118</x:v>
      </x:c>
      <x:c r="B129" s="89" t="str">
        <x:v>2025-01-04</x:v>
      </x:c>
      <x:c r="C129" s="89" t="str">
        <x:v>Partner</x:v>
      </x:c>
      <x:c r="D129" s="89" t="str">
        <x:v>Marmara</x:v>
      </x:c>
      <x:c r="E129" s="89" t="str">
        <x:v>Contract</x:v>
      </x:c>
      <x:c r="F129" s="101" t="n">
        <x:v>54668.23</x:v>
      </x:c>
      <x:c r="G129" s="101" t="n">
        <x:v>53130.61</x:v>
      </x:c>
      <x:c r="H129" s="67" t="n">
        <x:v>0.3225</x:v>
      </x:c>
      <x:c r="I129" s="73" t="n">
        <x:v>628</x:v>
      </x:c>
      <x:c r="J129" s="67" t="n">
        <x:v>0.29934658689644533</x:v>
      </x:c>
      <x:c r="K129" s="73" t="n">
        <x:v>553</x:v>
      </x:c>
      <x:c r="L129" s="89" t="str">
        <x:v>F</x:v>
      </x:c>
      <x:c r="M129" s="89" t="str">
        <x:v>DECLINE_RECOMMENDATION</x:v>
      </x:c>
      <x:c r="N129" s="101" t="n">
        <x:v>7157.010043451767</x:v>
      </x:c>
      <x:c r="O129" s="73" t="n">
        <x:v>1</x:v>
      </x:c>
    </x:row>
    <x:row r="130">
      <x:c r="A130" s="89" t="str">
        <x:v>APP-0022480</x:v>
      </x:c>
      <x:c r="B130" s="89" t="str">
        <x:v>2025-01-04</x:v>
      </x:c>
      <x:c r="C130" s="89" t="str">
        <x:v>Branch</x:v>
      </x:c>
      <x:c r="D130" s="89" t="str">
        <x:v>Mediterranean</x:v>
      </x:c>
      <x:c r="E130" s="89" t="str">
        <x:v>Contract</x:v>
      </x:c>
      <x:c r="F130" s="101" t="n">
        <x:v>24384.26</x:v>
      </x:c>
      <x:c r="G130" s="101" t="n">
        <x:v>12501.07</x:v>
      </x:c>
      <x:c r="H130" s="67" t="n">
        <x:v>0.36073</x:v>
      </x:c>
      <x:c r="I130" s="73" t="n">
        <x:v>752</x:v>
      </x:c>
      <x:c r="J130" s="67" t="n">
        <x:v>0.05917129699150243</x:v>
      </x:c>
      <x:c r="K130" s="73" t="n">
        <x:v>691</x:v>
      </x:c>
      <x:c r="L130" s="89" t="str">
        <x:v>B</x:v>
      </x:c>
      <x:c r="M130" s="89" t="str">
        <x:v>APPROVE_RECOMMENDATION</x:v>
      </x:c>
      <x:c r="N130" s="101" t="n">
        <x:v>332.86703655670254</x:v>
      </x:c>
      <x:c r="O130" s="73" t="n">
        <x:v>0</x:v>
      </x:c>
    </x:row>
    <x:row r="131">
      <x:c r="A131" s="89" t="str">
        <x:v>APP-0023534</x:v>
      </x:c>
      <x:c r="B131" s="89" t="str">
        <x:v>2025-01-04</x:v>
      </x:c>
      <x:c r="C131" s="89" t="str">
        <x:v>Branch</x:v>
      </x:c>
      <x:c r="D131" s="89" t="str">
        <x:v>Mediterranean</x:v>
      </x:c>
      <x:c r="E131" s="89" t="str">
        <x:v>Salaried</x:v>
      </x:c>
      <x:c r="F131" s="101" t="n">
        <x:v>56986.06</x:v>
      </x:c>
      <x:c r="G131" s="101" t="n">
        <x:v>62487.86</x:v>
      </x:c>
      <x:c r="H131" s="67" t="n">
        <x:v>0.32603</x:v>
      </x:c>
      <x:c r="I131" s="73" t="n">
        <x:v>670</x:v>
      </x:c>
      <x:c r="J131" s="67" t="n">
        <x:v>0.11571407371574577</x:v>
      </x:c>
      <x:c r="K131" s="73" t="n">
        <x:v>638</x:v>
      </x:c>
      <x:c r="L131" s="89" t="str">
        <x:v>D</x:v>
      </x:c>
      <x:c r="M131" s="89" t="str">
        <x:v>REFER</x:v>
      </x:c>
      <x:c r="N131" s="101" t="n">
        <x:v>3253.826177270641</x:v>
      </x:c>
      <x:c r="O131" s="73" t="n">
        <x:v>0</x:v>
      </x:c>
    </x:row>
    <x:row r="132">
      <x:c r="A132" s="89" t="str">
        <x:v>APP-0024916</x:v>
      </x:c>
      <x:c r="B132" s="89" t="str">
        <x:v>2025-01-04</x:v>
      </x:c>
      <x:c r="C132" s="89" t="str">
        <x:v>Web</x:v>
      </x:c>
      <x:c r="D132" s="89" t="str">
        <x:v>Marmara</x:v>
      </x:c>
      <x:c r="E132" s="89" t="str">
        <x:v>Public sector</x:v>
      </x:c>
      <x:c r="F132" s="101" t="n">
        <x:v>90350.4</x:v>
      </x:c>
      <x:c r="G132" s="101" t="n">
        <x:v>48801.7</x:v>
      </x:c>
      <x:c r="H132" s="67" t="n">
        <x:v>0.64015</x:v>
      </x:c>
      <x:c r="I132" s="73" t="n">
        <x:v>683</x:v>
      </x:c>
      <x:c r="J132" s="67" t="n">
        <x:v>0.34968406113636735</x:v>
      </x:c>
      <x:c r="K132" s="73" t="n">
        <x:v>536</x:v>
      </x:c>
      <x:c r="L132" s="89" t="str">
        <x:v>F</x:v>
      </x:c>
      <x:c r="M132" s="89" t="str">
        <x:v>DECLINE_RECOMMENDATION</x:v>
      </x:c>
      <x:c r="N132" s="101" t="n">
        <x:v>7679.329490861396</x:v>
      </x:c>
      <x:c r="O132" s="73" t="n">
        <x:v>0</x:v>
      </x:c>
    </x:row>
    <x:row r="133">
      <x:c r="A133" s="89" t="str">
        <x:v>APP-0029212</x:v>
      </x:c>
      <x:c r="B133" s="89" t="str">
        <x:v>2025-01-04</x:v>
      </x:c>
      <x:c r="C133" s="89" t="str">
        <x:v>Partner</x:v>
      </x:c>
      <x:c r="D133" s="89" t="str">
        <x:v>Central Anatolia</x:v>
      </x:c>
      <x:c r="E133" s="89" t="str">
        <x:v>Self-employed</x:v>
      </x:c>
      <x:c r="F133" s="101" t="n">
        <x:v>42482.96</x:v>
      </x:c>
      <x:c r="G133" s="101" t="n">
        <x:v>101010.79</x:v>
      </x:c>
      <x:c r="H133" s="67" t="n">
        <x:v>0.33032</x:v>
      </x:c>
      <x:c r="I133" s="73" t="n">
        <x:v>759</x:v>
      </x:c>
      <x:c r="J133" s="67" t="n">
        <x:v>0.03606944540005795</x:v>
      </x:c>
      <x:c r="K133" s="73" t="n">
        <x:v>729</x:v>
      </x:c>
      <x:c r="L133" s="89" t="str">
        <x:v>B</x:v>
      </x:c>
      <x:c r="M133" s="89" t="str">
        <x:v>APPROVE_RECOMMENDATION</x:v>
      </x:c>
      <x:c r="N133" s="101" t="n">
        <x:v>1639.531428624774</x:v>
      </x:c>
      <x:c r="O133" s="73" t="n">
        <x:v>0</x:v>
      </x:c>
    </x:row>
    <x:row r="134">
      <x:c r="A134" s="89" t="str">
        <x:v>APP-0030491</x:v>
      </x:c>
      <x:c r="B134" s="89" t="str">
        <x:v>2025-01-04</x:v>
      </x:c>
      <x:c r="C134" s="89" t="str">
        <x:v>Branch</x:v>
      </x:c>
      <x:c r="D134" s="89" t="str">
        <x:v>Aegean</x:v>
      </x:c>
      <x:c r="E134" s="89" t="str">
        <x:v>Salaried</x:v>
      </x:c>
      <x:c r="F134" s="101" t="n">
        <x:v>33080.49</x:v>
      </x:c>
      <x:c r="G134" s="101" t="n">
        <x:v>21495.17</x:v>
      </x:c>
      <x:c r="H134" s="67" t="n">
        <x:v>0.15146</x:v>
      </x:c>
      <x:c r="I134" s="73" t="n">
        <x:v>677</x:v>
      </x:c>
      <x:c r="J134" s="67" t="n">
        <x:v>0.06493295785135755</x:v>
      </x:c>
      <x:c r="K134" s="73" t="n">
        <x:v>684</x:v>
      </x:c>
      <x:c r="L134" s="89" t="str">
        <x:v>C</x:v>
      </x:c>
      <x:c r="M134" s="89" t="str">
        <x:v>APPROVE_RECOMMENDATION</x:v>
      </x:c>
      <x:c r="N134" s="101" t="n">
        <x:v>628.0852354279943</x:v>
      </x:c>
      <x:c r="O134" s="73" t="n">
        <x:v>0</x:v>
      </x:c>
    </x:row>
    <x:row r="135">
      <x:c r="A135" s="89" t="str">
        <x:v>APP-0031075</x:v>
      </x:c>
      <x:c r="B135" s="89" t="str">
        <x:v>2025-01-04</x:v>
      </x:c>
      <x:c r="C135" s="89" t="str">
        <x:v>Mobile</x:v>
      </x:c>
      <x:c r="D135" s="89" t="str">
        <x:v>Marmara</x:v>
      </x:c>
      <x:c r="E135" s="89" t="str">
        <x:v>Salaried</x:v>
      </x:c>
      <x:c r="F135" s="101" t="n">
        <x:v>60236.62</x:v>
      </x:c>
      <x:c r="G135" s="101" t="n">
        <x:v>145411.53</x:v>
      </x:c>
      <x:c r="H135" s="67" t="n">
        <x:v>0.25323</x:v>
      </x:c>
      <x:c r="I135" s="73" t="n">
        <x:v>641</x:v>
      </x:c>
      <x:c r="J135" s="67" t="n">
        <x:v>0.1976502734179845</x:v>
      </x:c>
      <x:c r="K135" s="73" t="n">
        <x:v>593</x:v>
      </x:c>
      <x:c r="L135" s="89" t="str">
        <x:v>E</x:v>
      </x:c>
      <x:c r="M135" s="89" t="str">
        <x:v>REFER</x:v>
      </x:c>
      <x:c r="N135" s="101" t="n">
        <x:v>12933.282898182355</x:v>
      </x:c>
      <x:c r="O135" s="73" t="n">
        <x:v>0</x:v>
      </x:c>
    </x:row>
    <x:row r="136">
      <x:c r="A136" s="89" t="str">
        <x:v>APP-0031525</x:v>
      </x:c>
      <x:c r="B136" s="89" t="str">
        <x:v>2025-01-04</x:v>
      </x:c>
      <x:c r="C136" s="89" t="str">
        <x:v>Mobile</x:v>
      </x:c>
      <x:c r="D136" s="89" t="str">
        <x:v>Central Anatolia</x:v>
      </x:c>
      <x:c r="E136" s="89" t="str">
        <x:v>Self-employed</x:v>
      </x:c>
      <x:c r="F136" s="101" t="n">
        <x:v>23546.84</x:v>
      </x:c>
      <x:c r="G136" s="101" t="n">
        <x:v>21380.01</x:v>
      </x:c>
      <x:c r="H136" s="67" t="n">
        <x:v>0.06104</x:v>
      </x:c>
      <x:c r="I136" s="73" t="n">
        <x:v>717</x:v>
      </x:c>
      <x:c r="J136" s="67" t="n">
        <x:v>0.06685484090438834</x:v>
      </x:c>
      <x:c r="K136" s="73" t="n">
        <x:v>682</x:v>
      </x:c>
      <x:c r="L136" s="89" t="str">
        <x:v>C</x:v>
      </x:c>
      <x:c r="M136" s="89" t="str">
        <x:v>APPROVE_RECOMMENDATION</x:v>
      </x:c>
      <x:c r="N136" s="101" t="n">
        <x:v>643.2107251879042</x:v>
      </x:c>
      <x:c r="O136" s="73" t="n">
        <x:v>0</x:v>
      </x:c>
    </x:row>
    <x:row r="137">
      <x:c r="A137" s="89" t="str">
        <x:v>APP-0032173</x:v>
      </x:c>
      <x:c r="B137" s="89" t="str">
        <x:v>2025-01-04</x:v>
      </x:c>
      <x:c r="C137" s="89" t="str">
        <x:v>Mobile</x:v>
      </x:c>
      <x:c r="D137" s="89" t="str">
        <x:v>Black Sea</x:v>
      </x:c>
      <x:c r="E137" s="89" t="str">
        <x:v>Salaried</x:v>
      </x:c>
      <x:c r="F137" s="101" t="n">
        <x:v>12000</x:v>
      </x:c>
      <x:c r="G137" s="101" t="n">
        <x:v>10000</x:v>
      </x:c>
      <x:c r="H137" s="67" t="n">
        <x:v>0.12019</x:v>
      </x:c>
      <x:c r="I137" s="73" t="n">
        <x:v>663</x:v>
      </x:c>
      <x:c r="J137" s="67" t="n">
        <x:v>0.06861416411411611</x:v>
      </x:c>
      <x:c r="K137" s="73" t="n">
        <x:v>680</x:v>
      </x:c>
      <x:c r="L137" s="89" t="str">
        <x:v>C</x:v>
      </x:c>
      <x:c r="M137" s="89" t="str">
        <x:v>APPROVE_RECOMMENDATION</x:v>
      </x:c>
      <x:c r="N137" s="101" t="n">
        <x:v>308.7637385135225</x:v>
      </x:c>
      <x:c r="O137" s="73" t="n">
        <x:v>0</x:v>
      </x:c>
    </x:row>
    <x:row r="138">
      <x:c r="A138" s="89" t="str">
        <x:v>APP-0032601</x:v>
      </x:c>
      <x:c r="B138" s="89" t="str">
        <x:v>2025-01-04</x:v>
      </x:c>
      <x:c r="C138" s="89" t="str">
        <x:v>Branch</x:v>
      </x:c>
      <x:c r="D138" s="89" t="str">
        <x:v>Central Anatolia</x:v>
      </x:c>
      <x:c r="E138" s="89" t="str">
        <x:v>Salaried</x:v>
      </x:c>
      <x:c r="F138" s="101" t="n">
        <x:v>52051.67</x:v>
      </x:c>
      <x:c r="G138" s="101" t="n">
        <x:v>10000</x:v>
      </x:c>
      <x:c r="H138" s="67" t="n">
        <x:v>0.60545</x:v>
      </x:c>
      <x:c r="I138" s="73" t="n">
        <x:v>706</x:v>
      </x:c>
      <x:c r="J138" s="67" t="n">
        <x:v>0.07491443247789265</x:v>
      </x:c>
      <x:c r="K138" s="73" t="n">
        <x:v>673</x:v>
      </x:c>
      <x:c r="L138" s="89" t="str">
        <x:v>C</x:v>
      </x:c>
      <x:c r="M138" s="89" t="str">
        <x:v>APPROVE_RECOMMENDATION</x:v>
      </x:c>
      <x:c r="N138" s="101" t="n">
        <x:v>337.1149461505169</x:v>
      </x:c>
      <x:c r="O138" s="73" t="n">
        <x:v>0</x:v>
      </x:c>
    </x:row>
    <x:row r="139">
      <x:c r="A139" s="89" t="str">
        <x:v>APP-0032988</x:v>
      </x:c>
      <x:c r="B139" s="89" t="str">
        <x:v>2025-01-04</x:v>
      </x:c>
      <x:c r="C139" s="89" t="str">
        <x:v>Branch</x:v>
      </x:c>
      <x:c r="D139" s="89" t="str">
        <x:v>Marmara</x:v>
      </x:c>
      <x:c r="E139" s="89" t="str">
        <x:v>Salaried</x:v>
      </x:c>
      <x:c r="F139" s="101" t="n">
        <x:v>32654.72</x:v>
      </x:c>
      <x:c r="G139" s="101" t="n">
        <x:v>80602.36</x:v>
      </x:c>
      <x:c r="H139" s="67" t="n">
        <x:v>0.45967</x:v>
      </x:c>
      <x:c r="I139" s="73" t="n">
        <x:v>704</x:v>
      </x:c>
      <x:c r="J139" s="67" t="n">
        <x:v>0.13938333592054364</x:v>
      </x:c>
      <x:c r="K139" s="73" t="n">
        <x:v>623</x:v>
      </x:c>
      <x:c r="L139" s="89" t="str">
        <x:v>D</x:v>
      </x:c>
      <x:c r="M139" s="89" t="str">
        <x:v>REFER</x:v>
      </x:c>
      <x:c r="N139" s="101" t="n">
        <x:v>5055.581618940866</x:v>
      </x:c>
      <x:c r="O139" s="73" t="n">
        <x:v>1</x:v>
      </x:c>
    </x:row>
    <x:row r="140">
      <x:c r="A140" s="89" t="str">
        <x:v>APP-0033269</x:v>
      </x:c>
      <x:c r="B140" s="89" t="str">
        <x:v>2025-01-04</x:v>
      </x:c>
      <x:c r="C140" s="89" t="str">
        <x:v>Mobile</x:v>
      </x:c>
      <x:c r="D140" s="89" t="str">
        <x:v>Marmara</x:v>
      </x:c>
      <x:c r="E140" s="89" t="str">
        <x:v>Public sector</x:v>
      </x:c>
      <x:c r="F140" s="101" t="n">
        <x:v>16778.92</x:v>
      </x:c>
      <x:c r="G140" s="101" t="n">
        <x:v>10000</x:v>
      </x:c>
      <x:c r="H140" s="67" t="n">
        <x:v>0.22951</x:v>
      </x:c>
      <x:c r="I140" s="73" t="n">
        <x:v>741</x:v>
      </x:c>
      <x:c r="J140" s="67" t="n">
        <x:v>0.057237336691289754</x:v>
      </x:c>
      <x:c r="K140" s="73" t="n">
        <x:v>694</x:v>
      </x:c>
      <x:c r="L140" s="89" t="str">
        <x:v>B</x:v>
      </x:c>
      <x:c r="M140" s="89" t="str">
        <x:v>APPROVE_RECOMMENDATION</x:v>
      </x:c>
      <x:c r="N140" s="101" t="n">
        <x:v>257.5680151108039</x:v>
      </x:c>
      <x:c r="O140" s="73" t="n">
        <x:v>0</x:v>
      </x:c>
    </x:row>
    <x:row r="141">
      <x:c r="A141" s="89" t="str">
        <x:v>APP-0035453</x:v>
      </x:c>
      <x:c r="B141" s="89" t="str">
        <x:v>2025-01-04</x:v>
      </x:c>
      <x:c r="C141" s="89" t="str">
        <x:v>Web</x:v>
      </x:c>
      <x:c r="D141" s="89" t="str">
        <x:v>Marmara</x:v>
      </x:c>
      <x:c r="E141" s="89" t="str">
        <x:v>Salaried</x:v>
      </x:c>
      <x:c r="F141" s="101" t="n">
        <x:v>25301.43</x:v>
      </x:c>
      <x:c r="G141" s="101" t="n">
        <x:v>31227.47</x:v>
      </x:c>
      <x:c r="H141" s="67" t="n">
        <x:v>0.28713</x:v>
      </x:c>
      <x:c r="I141" s="73" t="n">
        <x:v>671</x:v>
      </x:c>
      <x:c r="J141" s="67" t="n">
        <x:v>0.27192185658532925</x:v>
      </x:c>
      <x:c r="K141" s="73" t="n">
        <x:v>563</x:v>
      </x:c>
      <x:c r="L141" s="89" t="str">
        <x:v>F</x:v>
      </x:c>
      <x:c r="M141" s="89" t="str">
        <x:v>DECLINE_RECOMMENDATION</x:v>
      </x:c>
      <x:c r="N141" s="101" t="n">
        <x:v>3821.1442284882023</x:v>
      </x:c>
      <x:c r="O141" s="73" t="n">
        <x:v>1</x:v>
      </x:c>
    </x:row>
    <x:row r="142">
      <x:c r="A142" s="89" t="str">
        <x:v>APP-0036826</x:v>
      </x:c>
      <x:c r="B142" s="89" t="str">
        <x:v>2025-01-04</x:v>
      </x:c>
      <x:c r="C142" s="89" t="str">
        <x:v>Branch</x:v>
      </x:c>
      <x:c r="D142" s="89" t="str">
        <x:v>Marmara</x:v>
      </x:c>
      <x:c r="E142" s="89" t="str">
        <x:v>Self-employed</x:v>
      </x:c>
      <x:c r="F142" s="101" t="n">
        <x:v>41959.21</x:v>
      </x:c>
      <x:c r="G142" s="101" t="n">
        <x:v>59122.59</x:v>
      </x:c>
      <x:c r="H142" s="67" t="n">
        <x:v>0.20135</x:v>
      </x:c>
      <x:c r="I142" s="73" t="n">
        <x:v>677</x:v>
      </x:c>
      <x:c r="J142" s="67" t="n">
        <x:v>0.1544250896227</x:v>
      </x:c>
      <x:c r="K142" s="73" t="n">
        <x:v>614</x:v>
      </x:c>
      <x:c r="L142" s="89" t="str">
        <x:v>E</x:v>
      </x:c>
      <x:c r="M142" s="89" t="str">
        <x:v>REFER</x:v>
      </x:c>
      <x:c r="N142" s="101" t="n">
        <x:v>4108.505066764265</x:v>
      </x:c>
      <x:c r="O142" s="73" t="n">
        <x:v>0</x:v>
      </x:c>
    </x:row>
    <x:row r="143">
      <x:c r="A143" s="89" t="str">
        <x:v>APP-0036941</x:v>
      </x:c>
      <x:c r="B143" s="89" t="str">
        <x:v>2025-01-04</x:v>
      </x:c>
      <x:c r="C143" s="89" t="str">
        <x:v>Web</x:v>
      </x:c>
      <x:c r="D143" s="89" t="str">
        <x:v>Mediterranean</x:v>
      </x:c>
      <x:c r="E143" s="89" t="str">
        <x:v>Contract</x:v>
      </x:c>
      <x:c r="F143" s="101" t="n">
        <x:v>92757.2</x:v>
      </x:c>
      <x:c r="G143" s="101" t="n">
        <x:v>147447.44</x:v>
      </x:c>
      <x:c r="H143" s="67" t="n">
        <x:v>0.42047</x:v>
      </x:c>
      <x:c r="I143" s="73" t="n">
        <x:v>604</x:v>
      </x:c>
      <x:c r="J143" s="67" t="n">
        <x:v>0.3844263101193904</x:v>
      </x:c>
      <x:c r="K143" s="73" t="n">
        <x:v>525</x:v>
      </x:c>
      <x:c r="L143" s="89" t="str">
        <x:v>F</x:v>
      </x:c>
      <x:c r="M143" s="89" t="str">
        <x:v>DECLINE_RECOMMENDATION</x:v>
      </x:c>
      <x:c r="N143" s="101" t="n">
        <x:v>25507.203883087594</x:v>
      </x:c>
      <x:c r="O143" s="73" t="n">
        <x:v>0</x:v>
      </x:c>
    </x:row>
    <x:row r="144">
      <x:c r="A144" s="89" t="str">
        <x:v>APP-0037370</x:v>
      </x:c>
      <x:c r="B144" s="89" t="str">
        <x:v>2025-01-04</x:v>
      </x:c>
      <x:c r="C144" s="89" t="str">
        <x:v>Web</x:v>
      </x:c>
      <x:c r="D144" s="89" t="str">
        <x:v>Black Sea</x:v>
      </x:c>
      <x:c r="E144" s="89" t="str">
        <x:v>Self-employed</x:v>
      </x:c>
      <x:c r="F144" s="101" t="n">
        <x:v>119254.08</x:v>
      </x:c>
      <x:c r="G144" s="101" t="n">
        <x:v>174365.63</x:v>
      </x:c>
      <x:c r="H144" s="67" t="n">
        <x:v>0.21132</x:v>
      </x:c>
      <x:c r="I144" s="73" t="n">
        <x:v>682</x:v>
      </x:c>
      <x:c r="J144" s="67" t="n">
        <x:v>0.11750244224188801</x:v>
      </x:c>
      <x:c r="K144" s="73" t="n">
        <x:v>637</x:v>
      </x:c>
      <x:c r="L144" s="89" t="str">
        <x:v>D</x:v>
      </x:c>
      <x:c r="M144" s="89" t="str">
        <x:v>REFER</x:v>
      </x:c>
      <x:c r="N144" s="101" t="n">
        <x:v>9219.774315620438</x:v>
      </x:c>
      <x:c r="O144" s="73" t="n">
        <x:v>0</x:v>
      </x:c>
    </x:row>
    <x:row r="145">
      <x:c r="A145" s="89" t="str">
        <x:v>APP-0038305</x:v>
      </x:c>
      <x:c r="B145" s="89" t="str">
        <x:v>2025-01-04</x:v>
      </x:c>
      <x:c r="C145" s="89" t="str">
        <x:v>Web</x:v>
      </x:c>
      <x:c r="D145" s="89" t="str">
        <x:v>Marmara</x:v>
      </x:c>
      <x:c r="E145" s="89" t="str">
        <x:v>Salaried</x:v>
      </x:c>
      <x:c r="F145" s="101" t="n">
        <x:v>55146.82</x:v>
      </x:c>
      <x:c r="G145" s="101" t="n">
        <x:v>26421.1</x:v>
      </x:c>
      <x:c r="H145" s="67" t="n">
        <x:v>0.30674</x:v>
      </x:c>
      <x:c r="I145" s="73" t="n">
        <x:v>689</x:v>
      </x:c>
      <x:c r="J145" s="67" t="n">
        <x:v>0.19151078263227422</x:v>
      </x:c>
      <x:c r="K145" s="73" t="n">
        <x:v>595</x:v>
      </x:c>
      <x:c r="L145" s="89" t="str">
        <x:v>E</x:v>
      </x:c>
      <x:c r="M145" s="89" t="str">
        <x:v>REFER</x:v>
      </x:c>
      <x:c r="N145" s="101" t="n">
        <x:v>2276.966492552511</x:v>
      </x:c>
      <x:c r="O145" s="73" t="n">
        <x:v>0</x:v>
      </x:c>
    </x:row>
    <x:row r="146">
      <x:c r="A146" s="89" t="str">
        <x:v>APP-0038310</x:v>
      </x:c>
      <x:c r="B146" s="89" t="str">
        <x:v>2025-01-04</x:v>
      </x:c>
      <x:c r="C146" s="89" t="str">
        <x:v>Mobile</x:v>
      </x:c>
      <x:c r="D146" s="89" t="str">
        <x:v>Marmara</x:v>
      </x:c>
      <x:c r="E146" s="89" t="str">
        <x:v>Public sector</x:v>
      </x:c>
      <x:c r="F146" s="101" t="n">
        <x:v>32097.7</x:v>
      </x:c>
      <x:c r="G146" s="101" t="n">
        <x:v>70909.05</x:v>
      </x:c>
      <x:c r="H146" s="67" t="n">
        <x:v>0.22608</x:v>
      </x:c>
      <x:c r="I146" s="73" t="n">
        <x:v>687</x:v>
      </x:c>
      <x:c r="J146" s="67" t="n">
        <x:v>0.1052289904717217</x:v>
      </x:c>
      <x:c r="K146" s="73" t="n">
        <x:v>646</x:v>
      </x:c>
      <x:c r="L146" s="89" t="str">
        <x:v>D</x:v>
      </x:c>
      <x:c r="M146" s="89" t="str">
        <x:v>REFER</x:v>
      </x:c>
      <x:c r="N146" s="101" t="n">
        <x:v>3357.759486063977</x:v>
      </x:c>
      <x:c r="O146" s="73" t="n">
        <x:v>0</x:v>
      </x:c>
    </x:row>
    <x:row r="147">
      <x:c r="A147" s="89" t="str">
        <x:v>APP-0039854</x:v>
      </x:c>
      <x:c r="B147" s="89" t="str">
        <x:v>2025-01-04</x:v>
      </x:c>
      <x:c r="C147" s="89" t="str">
        <x:v>Mobile</x:v>
      </x:c>
      <x:c r="D147" s="89" t="str">
        <x:v>Central Anatolia</x:v>
      </x:c>
      <x:c r="E147" s="89" t="str">
        <x:v>Salaried</x:v>
      </x:c>
      <x:c r="F147" s="101" t="n">
        <x:v>22312.12</x:v>
      </x:c>
      <x:c r="G147" s="101" t="n">
        <x:v>19048.5</x:v>
      </x:c>
      <x:c r="H147" s="67" t="n">
        <x:v>0.25515</x:v>
      </x:c>
      <x:c r="I147" s="73" t="n">
        <x:v>697</x:v>
      </x:c>
      <x:c r="J147" s="67" t="n">
        <x:v>0.0533186234841653</x:v>
      </x:c>
      <x:c r="K147" s="73" t="n">
        <x:v>699</x:v>
      </x:c>
      <x:c r="L147" s="89" t="str">
        <x:v>B</x:v>
      </x:c>
      <x:c r="M147" s="89" t="str">
        <x:v>APPROVE_RECOMMENDATION</x:v>
      </x:c>
      <x:c r="N147" s="101" t="n">
        <x:v>457.0379097471552</x:v>
      </x:c>
      <x:c r="O147" s="73" t="n">
        <x:v>0</x:v>
      </x:c>
    </x:row>
    <x:row r="148">
      <x:c r="A148" s="89" t="str">
        <x:v>APP-0039997</x:v>
      </x:c>
      <x:c r="B148" s="89" t="str">
        <x:v>2025-01-04</x:v>
      </x:c>
      <x:c r="C148" s="89" t="str">
        <x:v>Mobile</x:v>
      </x:c>
      <x:c r="D148" s="89" t="str">
        <x:v>Aegean</x:v>
      </x:c>
      <x:c r="E148" s="89" t="str">
        <x:v>Public sector</x:v>
      </x:c>
      <x:c r="F148" s="101" t="n">
        <x:v>25376.33</x:v>
      </x:c>
      <x:c r="G148" s="101" t="n">
        <x:v>30547.45</x:v>
      </x:c>
      <x:c r="H148" s="67" t="n">
        <x:v>0.79412</x:v>
      </x:c>
      <x:c r="I148" s="73" t="n">
        <x:v>667</x:v>
      </x:c>
      <x:c r="J148" s="67" t="n">
        <x:v>0.31700518489760043</x:v>
      </x:c>
      <x:c r="K148" s="73" t="n">
        <x:v>547</x:v>
      </x:c>
      <x:c r="L148" s="89" t="str">
        <x:v>F</x:v>
      </x:c>
      <x:c r="M148" s="89" t="str">
        <x:v>DECLINE_RECOMMENDATION</x:v>
      </x:c>
      <x:c r="N148" s="101" t="n">
        <x:v>4357.6650159300925</x:v>
      </x:c>
      <x:c r="O148" s="73" t="n">
        <x:v>1</x:v>
      </x:c>
    </x:row>
    <x:row r="149">
      <x:c r="A149" s="89" t="str">
        <x:v>APP-0040033</x:v>
      </x:c>
      <x:c r="B149" s="89" t="str">
        <x:v>2025-01-04</x:v>
      </x:c>
      <x:c r="C149" s="89" t="str">
        <x:v>Mobile</x:v>
      </x:c>
      <x:c r="D149" s="89" t="str">
        <x:v>Mediterranean</x:v>
      </x:c>
      <x:c r="E149" s="89" t="str">
        <x:v>Public sector</x:v>
      </x:c>
      <x:c r="F149" s="101" t="n">
        <x:v>69446.59</x:v>
      </x:c>
      <x:c r="G149" s="101" t="n">
        <x:v>101721.44</x:v>
      </x:c>
      <x:c r="H149" s="67" t="n">
        <x:v>0.25369</x:v>
      </x:c>
      <x:c r="I149" s="73" t="n">
        <x:v>678</x:v>
      </x:c>
      <x:c r="J149" s="67" t="n">
        <x:v>0.051884168507191276</x:v>
      </x:c>
      <x:c r="K149" s="73" t="n">
        <x:v>701</x:v>
      </x:c>
      <x:c r="L149" s="89" t="str">
        <x:v>B</x:v>
      </x:c>
      <x:c r="M149" s="89" t="str">
        <x:v>APPROVE_RECOMMENDATION</x:v>
      </x:c>
      <x:c r="N149" s="101" t="n">
        <x:v>2374.9795501893664</x:v>
      </x:c>
      <x:c r="O149" s="73" t="n">
        <x:v>0</x:v>
      </x:c>
    </x:row>
    <x:row r="150">
      <x:c r="A150" s="89" t="str">
        <x:v>APP-0041713</x:v>
      </x:c>
      <x:c r="B150" s="89" t="str">
        <x:v>2025-01-04</x:v>
      </x:c>
      <x:c r="C150" s="89" t="str">
        <x:v>Mobile</x:v>
      </x:c>
      <x:c r="D150" s="89" t="str">
        <x:v>Aegean</x:v>
      </x:c>
      <x:c r="E150" s="89" t="str">
        <x:v>Public sector</x:v>
      </x:c>
      <x:c r="F150" s="101" t="n">
        <x:v>72372.81</x:v>
      </x:c>
      <x:c r="G150" s="101" t="n">
        <x:v>217271.33</x:v>
      </x:c>
      <x:c r="H150" s="67" t="n">
        <x:v>0.36043</x:v>
      </x:c>
      <x:c r="I150" s="73" t="n">
        <x:v>637</x:v>
      </x:c>
      <x:c r="J150" s="67" t="n">
        <x:v>0.4539731566501027</x:v>
      </x:c>
      <x:c r="K150" s="73" t="n">
        <x:v>505</x:v>
      </x:c>
      <x:c r="L150" s="89" t="str">
        <x:v>F</x:v>
      </x:c>
      <x:c r="M150" s="89" t="str">
        <x:v>DECLINE_RECOMMENDATION</x:v>
      </x:c>
      <x:c r="N150" s="101" t="n">
        <x:v>44385.90818834977</x:v>
      </x:c>
      <x:c r="O150" s="73" t="n">
        <x:v>0</x:v>
      </x:c>
    </x:row>
    <x:row r="151">
      <x:c r="A151" s="89" t="str">
        <x:v>APP-0042760</x:v>
      </x:c>
      <x:c r="B151" s="89" t="str">
        <x:v>2025-01-04</x:v>
      </x:c>
      <x:c r="C151" s="89" t="str">
        <x:v>Mobile</x:v>
      </x:c>
      <x:c r="D151" s="89" t="str">
        <x:v>Marmara</x:v>
      </x:c>
      <x:c r="E151" s="89" t="str">
        <x:v>Public sector</x:v>
      </x:c>
      <x:c r="F151" s="101" t="n">
        <x:v>168035.27</x:v>
      </x:c>
      <x:c r="G151" s="101" t="n">
        <x:v>306800.23</x:v>
      </x:c>
      <x:c r="H151" s="67" t="n">
        <x:v>0.46217</x:v>
      </x:c>
      <x:c r="I151" s="73" t="n">
        <x:v>725</x:v>
      </x:c>
      <x:c r="J151" s="67" t="n">
        <x:v>0.1206932244928945</x:v>
      </x:c>
      <x:c r="K151" s="73" t="n">
        <x:v>635</x:v>
      </x:c>
      <x:c r="L151" s="89" t="str">
        <x:v>D</x:v>
      </x:c>
      <x:c r="M151" s="89" t="str">
        <x:v>REFER</x:v>
      </x:c>
      <x:c r="N151" s="101" t="n">
        <x:v>16662.91906523775</x:v>
      </x:c>
      <x:c r="O151" s="73" t="n">
        <x:v>0</x:v>
      </x:c>
    </x:row>
    <x:row r="152">
      <x:c r="A152" s="89" t="str">
        <x:v>APP-0046844</x:v>
      </x:c>
      <x:c r="B152" s="89" t="str">
        <x:v>2025-01-04</x:v>
      </x:c>
      <x:c r="C152" s="89" t="str">
        <x:v>Web</x:v>
      </x:c>
      <x:c r="D152" s="89" t="str">
        <x:v>Marmara</x:v>
      </x:c>
      <x:c r="E152" s="89" t="str">
        <x:v>Self-employed</x:v>
      </x:c>
      <x:c r="F152" s="101" t="n">
        <x:v>39287.33</x:v>
      </x:c>
      <x:c r="G152" s="101" t="n">
        <x:v>29533.44</x:v>
      </x:c>
      <x:c r="H152" s="67" t="n">
        <x:v>0.15835</x:v>
      </x:c>
      <x:c r="I152" s="73" t="n">
        <x:v>694</x:v>
      </x:c>
      <x:c r="J152" s="67" t="n">
        <x:v>0.0350142514018835</x:v>
      </x:c>
      <x:c r="K152" s="73" t="n">
        <x:v>731</x:v>
      </x:c>
      <x:c r="L152" s="89" t="str">
        <x:v>B</x:v>
      </x:c>
      <x:c r="M152" s="89" t="str">
        <x:v>APPROVE_RECOMMENDATION</x:v>
      </x:c>
      <x:c r="N152" s="101" t="n">
        <x:v>465.341081815099</x:v>
      </x:c>
      <x:c r="O152" s="73" t="n">
        <x:v>0</x:v>
      </x:c>
    </x:row>
    <x:row r="153">
      <x:c r="A153" s="89" t="str">
        <x:v>APP-0047685</x:v>
      </x:c>
      <x:c r="B153" s="89" t="str">
        <x:v>2025-01-04</x:v>
      </x:c>
      <x:c r="C153" s="89" t="str">
        <x:v>Web</x:v>
      </x:c>
      <x:c r="D153" s="89" t="str">
        <x:v>Aegean</x:v>
      </x:c>
      <x:c r="E153" s="89" t="str">
        <x:v>Salaried</x:v>
      </x:c>
      <x:c r="F153" s="101" t="n">
        <x:v>28676.39</x:v>
      </x:c>
      <x:c r="G153" s="101" t="n">
        <x:v>13288.42</x:v>
      </x:c>
      <x:c r="H153" s="67" t="n">
        <x:v>0.31644</x:v>
      </x:c>
      <x:c r="I153" s="73" t="n">
        <x:v>642</x:v>
      </x:c>
      <x:c r="J153" s="67" t="n">
        <x:v>0.19999042404551132</x:v>
      </x:c>
      <x:c r="K153" s="73" t="n">
        <x:v>592</x:v>
      </x:c>
      <x:c r="L153" s="89" t="str">
        <x:v>E</x:v>
      </x:c>
      <x:c r="M153" s="89" t="str">
        <x:v>REFER</x:v>
      </x:c>
      <x:c r="N153" s="101" t="n">
        <x:v>1195.900537812684</x:v>
      </x:c>
      <x:c r="O153" s="73" t="n">
        <x:v>0</x:v>
      </x:c>
    </x:row>
    <x:row r="154">
      <x:c r="A154" s="89" t="str">
        <x:v>APP-0000216</x:v>
      </x:c>
      <x:c r="B154" s="89" t="str">
        <x:v>2025-01-05</x:v>
      </x:c>
      <x:c r="C154" s="89" t="str">
        <x:v>Mobile</x:v>
      </x:c>
      <x:c r="D154" s="89" t="str">
        <x:v>Central Anatolia</x:v>
      </x:c>
      <x:c r="E154" s="89" t="str">
        <x:v>Salaried</x:v>
      </x:c>
      <x:c r="F154" s="101" t="n">
        <x:v>33446.15</x:v>
      </x:c>
      <x:c r="G154" s="101" t="n">
        <x:v>94203.45</x:v>
      </x:c>
      <x:c r="H154" s="67" t="n">
        <x:v>0.2097</x:v>
      </x:c>
      <x:c r="I154" s="73" t="n">
        <x:v>698</x:v>
      </x:c>
      <x:c r="J154" s="67" t="n">
        <x:v>0.062904237621025</x:v>
      </x:c>
      <x:c r="K154" s="73" t="n">
        <x:v>686</x:v>
      </x:c>
      <x:c r="L154" s="89" t="str">
        <x:v>C</x:v>
      </x:c>
      <x:c r="M154" s="89" t="str">
        <x:v>APPROVE_RECOMMENDATION</x:v>
      </x:c>
      <x:c r="N154" s="101" t="n">
        <x:v>2666.608291584156</x:v>
      </x:c>
      <x:c r="O154" s="73" t="n">
        <x:v>0</x:v>
      </x:c>
    </x:row>
    <x:row r="155">
      <x:c r="A155" s="89" t="str">
        <x:v>APP-0000412</x:v>
      </x:c>
      <x:c r="B155" s="89" t="str">
        <x:v>2025-01-05</x:v>
      </x:c>
      <x:c r="C155" s="89" t="str">
        <x:v>Mobile</x:v>
      </x:c>
      <x:c r="D155" s="89" t="str">
        <x:v>Central Anatolia</x:v>
      </x:c>
      <x:c r="E155" s="89" t="str">
        <x:v>Retired</x:v>
      </x:c>
      <x:c r="F155" s="101" t="n">
        <x:v>12000</x:v>
      </x:c>
      <x:c r="G155" s="101" t="n">
        <x:v>10000</x:v>
      </x:c>
      <x:c r="H155" s="67" t="n">
        <x:v>0.37376</x:v>
      </x:c>
      <x:c r="I155" s="73" t="n">
        <x:v>645</x:v>
      </x:c>
      <x:c r="J155" s="67" t="n">
        <x:v>0.22265330233484293</x:v>
      </x:c>
      <x:c r="K155" s="73" t="n">
        <x:v>582</x:v>
      </x:c>
      <x:c r="L155" s="89" t="str">
        <x:v>F</x:v>
      </x:c>
      <x:c r="M155" s="89" t="str">
        <x:v>DECLINE_RECOMMENDATION</x:v>
      </x:c>
      <x:c r="N155" s="101" t="n">
        <x:v>1001.9398605067933</x:v>
      </x:c>
      <x:c r="O155" s="73" t="n">
        <x:v>0</x:v>
      </x:c>
    </x:row>
    <x:row r="156">
      <x:c r="A156" s="89" t="str">
        <x:v>APP-0003188</x:v>
      </x:c>
      <x:c r="B156" s="89" t="str">
        <x:v>2025-01-05</x:v>
      </x:c>
      <x:c r="C156" s="89" t="str">
        <x:v>Web</x:v>
      </x:c>
      <x:c r="D156" s="89" t="str">
        <x:v>Black Sea</x:v>
      </x:c>
      <x:c r="E156" s="89" t="str">
        <x:v>Salaried</x:v>
      </x:c>
      <x:c r="F156" s="101" t="n">
        <x:v>48587.85</x:v>
      </x:c>
      <x:c r="G156" s="101" t="n">
        <x:v>43306.39</x:v>
      </x:c>
      <x:c r="H156" s="67" t="n">
        <x:v>0.13439</x:v>
      </x:c>
      <x:c r="I156" s="73" t="n">
        <x:v>675</x:v>
      </x:c>
      <x:c r="J156" s="67" t="n">
        <x:v>0.07473917114784288</x:v>
      </x:c>
      <x:c r="K156" s="73" t="n">
        <x:v>673</x:v>
      </x:c>
      <x:c r="L156" s="89" t="str">
        <x:v>C</x:v>
      </x:c>
      <x:c r="M156" s="89" t="str">
        <x:v>APPROVE_RECOMMENDATION</x:v>
      </x:c>
      <x:c r="N156" s="101" t="n">
        <x:v>1456.5076623023542</x:v>
      </x:c>
      <x:c r="O156" s="73" t="n">
        <x:v>0</x:v>
      </x:c>
    </x:row>
    <x:row r="157">
      <x:c r="A157" s="89" t="str">
        <x:v>APP-0004076</x:v>
      </x:c>
      <x:c r="B157" s="89" t="str">
        <x:v>2025-01-05</x:v>
      </x:c>
      <x:c r="C157" s="89" t="str">
        <x:v>Mobile</x:v>
      </x:c>
      <x:c r="D157" s="89" t="str">
        <x:v>Marmara</x:v>
      </x:c>
      <x:c r="E157" s="89" t="str">
        <x:v>Self-employed</x:v>
      </x:c>
      <x:c r="F157" s="101" t="n">
        <x:v>56901.63</x:v>
      </x:c>
      <x:c r="G157" s="101" t="n">
        <x:v>63116.89</x:v>
      </x:c>
      <x:c r="H157" s="67" t="n">
        <x:v>0.61458</x:v>
      </x:c>
      <x:c r="I157" s="73" t="n">
        <x:v>712</x:v>
      </x:c>
      <x:c r="J157" s="67" t="n">
        <x:v>0.08316628929744461</x:v>
      </x:c>
      <x:c r="K157" s="73" t="n">
        <x:v>665</x:v>
      </x:c>
      <x:c r="L157" s="89" t="str">
        <x:v>C</x:v>
      </x:c>
      <x:c r="M157" s="89" t="str">
        <x:v>APPROVE_RECOMMENDATION</x:v>
      </x:c>
      <x:c r="N157" s="101" t="n">
        <x:v>2362.1388899827452</x:v>
      </x:c>
      <x:c r="O157" s="73" t="n">
        <x:v>0</x:v>
      </x:c>
    </x:row>
    <x:row r="158">
      <x:c r="A158" s="89" t="str">
        <x:v>APP-0006216</x:v>
      </x:c>
      <x:c r="B158" s="89" t="str">
        <x:v>2025-01-05</x:v>
      </x:c>
      <x:c r="C158" s="89" t="str">
        <x:v>Partner</x:v>
      </x:c>
      <x:c r="D158" s="89" t="str">
        <x:v>Central Anatolia</x:v>
      </x:c>
      <x:c r="E158" s="89" t="str">
        <x:v>Salaried</x:v>
      </x:c>
      <x:c r="F158" s="101" t="n">
        <x:v>45082.67</x:v>
      </x:c>
      <x:c r="G158" s="101" t="n">
        <x:v>40974.05</x:v>
      </x:c>
      <x:c r="H158" s="67" t="n">
        <x:v>0.09787</x:v>
      </x:c>
      <x:c r="I158" s="73" t="n">
        <x:v>656</x:v>
      </x:c>
      <x:c r="J158" s="67" t="n">
        <x:v>0.25193244044944535</x:v>
      </x:c>
      <x:c r="K158" s="73" t="n">
        <x:v>570</x:v>
      </x:c>
      <x:c r="L158" s="89" t="str">
        <x:v>F</x:v>
      </x:c>
      <x:c r="M158" s="89" t="str">
        <x:v>DECLINE_RECOMMENDATION</x:v>
      </x:c>
      <x:c r="N158" s="101" t="n">
        <x:v>4645.211585218919</x:v>
      </x:c>
      <x:c r="O158" s="73" t="n">
        <x:v>1</x:v>
      </x:c>
    </x:row>
    <x:row r="159">
      <x:c r="A159" s="89" t="str">
        <x:v>APP-0012574</x:v>
      </x:c>
      <x:c r="B159" s="89" t="str">
        <x:v>2025-01-05</x:v>
      </x:c>
      <x:c r="C159" s="89" t="str">
        <x:v>Mobile</x:v>
      </x:c>
      <x:c r="D159" s="89" t="str">
        <x:v>Mediterranean</x:v>
      </x:c>
      <x:c r="E159" s="89" t="str">
        <x:v>Salaried</x:v>
      </x:c>
      <x:c r="F159" s="101" t="n">
        <x:v>44685.98</x:v>
      </x:c>
      <x:c r="G159" s="101" t="n">
        <x:v>53117.77</x:v>
      </x:c>
      <x:c r="H159" s="67" t="n">
        <x:v>0.04875</x:v>
      </x:c>
      <x:c r="I159" s="73" t="n">
        <x:v>655</x:v>
      </x:c>
      <x:c r="J159" s="67" t="n">
        <x:v>0.2209282461664993</x:v>
      </x:c>
      <x:c r="K159" s="73" t="n">
        <x:v>582</x:v>
      </x:c>
      <x:c r="L159" s="89" t="str">
        <x:v>F</x:v>
      </x:c>
      <x:c r="M159" s="89" t="str">
        <x:v>DECLINE_RECOMMENDATION</x:v>
      </x:c>
      <x:c r="N159" s="101" t="n">
        <x:v>5280.847094868971</x:v>
      </x:c>
      <x:c r="O159" s="73" t="n">
        <x:v>0</x:v>
      </x:c>
    </x:row>
    <x:row r="160">
      <x:c r="A160" s="89" t="str">
        <x:v>APP-0014829</x:v>
      </x:c>
      <x:c r="B160" s="89" t="str">
        <x:v>2025-01-05</x:v>
      </x:c>
      <x:c r="C160" s="89" t="str">
        <x:v>Branch</x:v>
      </x:c>
      <x:c r="D160" s="89" t="str">
        <x:v>Aegean</x:v>
      </x:c>
      <x:c r="E160" s="89" t="str">
        <x:v>Salaried</x:v>
      </x:c>
      <x:c r="F160" s="101" t="n">
        <x:v>46351.58</x:v>
      </x:c>
      <x:c r="G160" s="101" t="n">
        <x:v>31150.65</x:v>
      </x:c>
      <x:c r="H160" s="67" t="n">
        <x:v>0.30936</x:v>
      </x:c>
      <x:c r="I160" s="73" t="n">
        <x:v>683</x:v>
      </x:c>
      <x:c r="J160" s="67" t="n">
        <x:v>0.17941693524205513</x:v>
      </x:c>
      <x:c r="K160" s="73" t="n">
        <x:v>601</x:v>
      </x:c>
      <x:c r="L160" s="89" t="str">
        <x:v>E</x:v>
      </x:c>
      <x:c r="M160" s="89" t="str">
        <x:v>REFER</x:v>
      </x:c>
      <x:c r="N160" s="101" t="n">
        <x:v>2515.029369209066</x:v>
      </x:c>
      <x:c r="O160" s="73" t="n">
        <x:v>0</x:v>
      </x:c>
    </x:row>
    <x:row r="161">
      <x:c r="A161" s="89" t="str">
        <x:v>APP-0018627</x:v>
      </x:c>
      <x:c r="B161" s="89" t="str">
        <x:v>2025-01-05</x:v>
      </x:c>
      <x:c r="C161" s="89" t="str">
        <x:v>Branch</x:v>
      </x:c>
      <x:c r="D161" s="89" t="str">
        <x:v>Aegean</x:v>
      </x:c>
      <x:c r="E161" s="89" t="str">
        <x:v>Salaried</x:v>
      </x:c>
      <x:c r="F161" s="101" t="n">
        <x:v>30790.41</x:v>
      </x:c>
      <x:c r="G161" s="101" t="n">
        <x:v>196902.93</x:v>
      </x:c>
      <x:c r="H161" s="67" t="n">
        <x:v>0.80691</x:v>
      </x:c>
      <x:c r="I161" s="73" t="n">
        <x:v>740</x:v>
      </x:c>
      <x:c r="J161" s="67" t="n">
        <x:v>0.11893773851709286</x:v>
      </x:c>
      <x:c r="K161" s="73" t="n">
        <x:v>636</x:v>
      </x:c>
      <x:c r="L161" s="89" t="str">
        <x:v>D</x:v>
      </x:c>
      <x:c r="M161" s="89" t="str">
        <x:v>REFER</x:v>
      </x:c>
      <x:c r="N161" s="101" t="n">
        <x:v>10538.635140715247</x:v>
      </x:c>
      <x:c r="O161" s="73" t="n">
        <x:v>0</x:v>
      </x:c>
    </x:row>
    <x:row r="162">
      <x:c r="A162" s="89" t="str">
        <x:v>APP-0019330</x:v>
      </x:c>
      <x:c r="B162" s="89" t="str">
        <x:v>2025-01-05</x:v>
      </x:c>
      <x:c r="C162" s="89" t="str">
        <x:v>Partner</x:v>
      </x:c>
      <x:c r="D162" s="89" t="str">
        <x:v>Marmara</x:v>
      </x:c>
      <x:c r="E162" s="89" t="str">
        <x:v>Salaried</x:v>
      </x:c>
      <x:c r="F162" s="101" t="n">
        <x:v>47000.9</x:v>
      </x:c>
      <x:c r="G162" s="101" t="n">
        <x:v>45498.83</x:v>
      </x:c>
      <x:c r="H162" s="67" t="n">
        <x:v>0.28788</x:v>
      </x:c>
      <x:c r="I162" s="73" t="n">
        <x:v>636</x:v>
      </x:c>
      <x:c r="J162" s="67" t="n">
        <x:v>0.42026742401813916</x:v>
      </x:c>
      <x:c r="K162" s="73" t="n">
        <x:v>515</x:v>
      </x:c>
      <x:c r="L162" s="89" t="str">
        <x:v>F</x:v>
      </x:c>
      <x:c r="M162" s="89" t="str">
        <x:v>DECLINE_RECOMMENDATION</x:v>
      </x:c>
      <x:c r="N162" s="101" t="n">
        <x:v>8604.754235972654</x:v>
      </x:c>
      <x:c r="O162" s="73" t="n">
        <x:v>0</x:v>
      </x:c>
    </x:row>
    <x:row r="163">
      <x:c r="A163" s="89" t="str">
        <x:v>APP-0019444</x:v>
      </x:c>
      <x:c r="B163" s="89" t="str">
        <x:v>2025-01-05</x:v>
      </x:c>
      <x:c r="C163" s="89" t="str">
        <x:v>Mobile</x:v>
      </x:c>
      <x:c r="D163" s="89" t="str">
        <x:v>Black Sea</x:v>
      </x:c>
      <x:c r="E163" s="89" t="str">
        <x:v>Contract</x:v>
      </x:c>
      <x:c r="F163" s="101" t="n">
        <x:v>33565.1</x:v>
      </x:c>
      <x:c r="G163" s="101" t="n">
        <x:v>17607.57</x:v>
      </x:c>
      <x:c r="H163" s="67" t="n">
        <x:v>0.18852</x:v>
      </x:c>
      <x:c r="I163" s="73" t="n">
        <x:v>692</x:v>
      </x:c>
      <x:c r="J163" s="67" t="n">
        <x:v>0.17691402992031036</x:v>
      </x:c>
      <x:c r="K163" s="73" t="n">
        <x:v>602</x:v>
      </x:c>
      <x:c r="L163" s="89" t="str">
        <x:v>E</x:v>
      </x:c>
      <x:c r="M163" s="89" t="str">
        <x:v>REFER</x:v>
      </x:c>
      <x:c r="N163" s="101" t="n">
        <x:v>1401.7617746117814</x:v>
      </x:c>
      <x:c r="O163" s="73" t="n">
        <x:v>0</x:v>
      </x:c>
    </x:row>
    <x:row r="164">
      <x:c r="A164" s="89" t="str">
        <x:v>APP-0021408</x:v>
      </x:c>
      <x:c r="B164" s="89" t="str">
        <x:v>2025-01-05</x:v>
      </x:c>
      <x:c r="C164" s="89" t="str">
        <x:v>Mobile</x:v>
      </x:c>
      <x:c r="D164" s="89" t="str">
        <x:v>Marmara</x:v>
      </x:c>
      <x:c r="E164" s="89" t="str">
        <x:v>Salaried</x:v>
      </x:c>
      <x:c r="F164" s="101" t="n">
        <x:v>68269.76</x:v>
      </x:c>
      <x:c r="G164" s="101" t="n">
        <x:v>167261.27</x:v>
      </x:c>
      <x:c r="H164" s="67" t="n">
        <x:v>0.42414</x:v>
      </x:c>
      <x:c r="I164" s="73" t="n">
        <x:v>640</x:v>
      </x:c>
      <x:c r="J164" s="67" t="n">
        <x:v>0.5625322071757767</x:v>
      </x:c>
      <x:c r="K164" s="73" t="n">
        <x:v>473</x:v>
      </x:c>
      <x:c r="L164" s="89" t="str">
        <x:v>F</x:v>
      </x:c>
      <x:c r="M164" s="89" t="str">
        <x:v>DECLINE_RECOMMENDATION</x:v>
      </x:c>
      <x:c r="N164" s="101" t="n">
        <x:v>42340.43312465558</x:v>
      </x:c>
      <x:c r="O164" s="73" t="n">
        <x:v>0</x:v>
      </x:c>
    </x:row>
    <x:row r="165">
      <x:c r="A165" s="89" t="str">
        <x:v>APP-0021568</x:v>
      </x:c>
      <x:c r="B165" s="89" t="str">
        <x:v>2025-01-05</x:v>
      </x:c>
      <x:c r="C165" s="89" t="str">
        <x:v>Web</x:v>
      </x:c>
      <x:c r="D165" s="89" t="str">
        <x:v>Marmara</x:v>
      </x:c>
      <x:c r="E165" s="89" t="str">
        <x:v>Public sector</x:v>
      </x:c>
      <x:c r="F165" s="101" t="n">
        <x:v>35886.66</x:v>
      </x:c>
      <x:c r="G165" s="101" t="n">
        <x:v>32964.17</x:v>
      </x:c>
      <x:c r="H165" s="67" t="n">
        <x:v>0.26452</x:v>
      </x:c>
      <x:c r="I165" s="73" t="n">
        <x:v>733</x:v>
      </x:c>
      <x:c r="J165" s="67" t="n">
        <x:v>0.02885008947542774</x:v>
      </x:c>
      <x:c r="K165" s="73" t="n">
        <x:v>745</x:v>
      </x:c>
      <x:c r="L165" s="89" t="str">
        <x:v>A</x:v>
      </x:c>
      <x:c r="M165" s="89" t="str">
        <x:v>APPROVE_RECOMMENDATION</x:v>
      </x:c>
      <x:c r="N165" s="101" t="n">
        <x:v>427.95866429244484</x:v>
      </x:c>
      <x:c r="O165" s="73" t="n">
        <x:v>0</x:v>
      </x:c>
    </x:row>
    <x:row r="166">
      <x:c r="A166" s="89" t="str">
        <x:v>APP-0022411</x:v>
      </x:c>
      <x:c r="B166" s="89" t="str">
        <x:v>2025-01-05</x:v>
      </x:c>
      <x:c r="C166" s="89" t="str">
        <x:v>Web</x:v>
      </x:c>
      <x:c r="D166" s="89" t="str">
        <x:v>Aegean</x:v>
      </x:c>
      <x:c r="E166" s="89" t="str">
        <x:v>Contract</x:v>
      </x:c>
      <x:c r="F166" s="101" t="n">
        <x:v>44207.75</x:v>
      </x:c>
      <x:c r="G166" s="101" t="n">
        <x:v>22140.11</x:v>
      </x:c>
      <x:c r="H166" s="67" t="n">
        <x:v>0.27401</x:v>
      </x:c>
      <x:c r="I166" s="73" t="n">
        <x:v>633</x:v>
      </x:c>
      <x:c r="J166" s="67" t="n">
        <x:v>0.3741009748607935</x:v>
      </x:c>
      <x:c r="K166" s="73" t="n">
        <x:v>529</x:v>
      </x:c>
      <x:c r="L166" s="89" t="str">
        <x:v>F</x:v>
      </x:c>
      <x:c r="M166" s="89" t="str">
        <x:v>DECLINE_RECOMMENDATION</x:v>
      </x:c>
      <x:c r="N166" s="101" t="n">
        <x:v>3727.186530536342</x:v>
      </x:c>
      <x:c r="O166" s="73" t="n">
        <x:v>0</x:v>
      </x:c>
    </x:row>
    <x:row r="167">
      <x:c r="A167" s="89" t="str">
        <x:v>APP-0022914</x:v>
      </x:c>
      <x:c r="B167" s="89" t="str">
        <x:v>2025-01-05</x:v>
      </x:c>
      <x:c r="C167" s="89" t="str">
        <x:v>Branch</x:v>
      </x:c>
      <x:c r="D167" s="89" t="str">
        <x:v>Aegean</x:v>
      </x:c>
      <x:c r="E167" s="89" t="str">
        <x:v>Contract</x:v>
      </x:c>
      <x:c r="F167" s="101" t="n">
        <x:v>23024.16</x:v>
      </x:c>
      <x:c r="G167" s="101" t="n">
        <x:v>41576.43</x:v>
      </x:c>
      <x:c r="H167" s="67" t="n">
        <x:v>0.43985</x:v>
      </x:c>
      <x:c r="I167" s="73" t="n">
        <x:v>676</x:v>
      </x:c>
      <x:c r="J167" s="67" t="n">
        <x:v>0.23014565861203953</x:v>
      </x:c>
      <x:c r="K167" s="73" t="n">
        <x:v>579</x:v>
      </x:c>
      <x:c r="L167" s="89" t="str">
        <x:v>F</x:v>
      </x:c>
      <x:c r="M167" s="89" t="str">
        <x:v>DECLINE_RECOMMENDATION</x:v>
      </x:c>
      <x:c r="N167" s="101" t="n">
        <x:v>4305.885689289312</x:v>
      </x:c>
      <x:c r="O167" s="73" t="n">
        <x:v>0</x:v>
      </x:c>
    </x:row>
    <x:row r="168">
      <x:c r="A168" s="89" t="str">
        <x:v>APP-0025093</x:v>
      </x:c>
      <x:c r="B168" s="89" t="str">
        <x:v>2025-01-05</x:v>
      </x:c>
      <x:c r="C168" s="89" t="str">
        <x:v>Branch</x:v>
      </x:c>
      <x:c r="D168" s="89" t="str">
        <x:v>Central Anatolia</x:v>
      </x:c>
      <x:c r="E168" s="89" t="str">
        <x:v>Salaried</x:v>
      </x:c>
      <x:c r="F168" s="101" t="n">
        <x:v>39918.5</x:v>
      </x:c>
      <x:c r="G168" s="101" t="n">
        <x:v>34487.46</x:v>
      </x:c>
      <x:c r="H168" s="67" t="n">
        <x:v>0.14156</x:v>
      </x:c>
      <x:c r="I168" s="73" t="n">
        <x:v>701</x:v>
      </x:c>
      <x:c r="J168" s="67" t="n">
        <x:v>0.07299978774178041</x:v>
      </x:c>
      <x:c r="K168" s="73" t="n">
        <x:v>675</x:v>
      </x:c>
      <x:c r="L168" s="89" t="str">
        <x:v>C</x:v>
      </x:c>
      <x:c r="M168" s="89" t="str">
        <x:v>APPROVE_RECOMMENDATION</x:v>
      </x:c>
      <x:c r="N168" s="101" t="n">
        <x:v>1132.909766888914</x:v>
      </x:c>
      <x:c r="O168" s="73" t="n">
        <x:v>0</x:v>
      </x:c>
    </x:row>
    <x:row r="169">
      <x:c r="A169" s="89" t="str">
        <x:v>APP-0026391</x:v>
      </x:c>
      <x:c r="B169" s="89" t="str">
        <x:v>2025-01-05</x:v>
      </x:c>
      <x:c r="C169" s="89" t="str">
        <x:v>Web</x:v>
      </x:c>
      <x:c r="D169" s="89" t="str">
        <x:v>Marmara</x:v>
      </x:c>
      <x:c r="E169" s="89" t="str">
        <x:v>Salaried</x:v>
      </x:c>
      <x:c r="F169" s="101" t="n">
        <x:v>74827.31</x:v>
      </x:c>
      <x:c r="G169" s="101" t="n">
        <x:v>73402.57</x:v>
      </x:c>
      <x:c r="H169" s="67" t="n">
        <x:v>0.1068</x:v>
      </x:c>
      <x:c r="I169" s="73" t="n">
        <x:v>667</x:v>
      </x:c>
      <x:c r="J169" s="67" t="n">
        <x:v>0.08358119788045575</x:v>
      </x:c>
      <x:c r="K169" s="73" t="n">
        <x:v>664</x:v>
      </x:c>
      <x:c r="L169" s="89" t="str">
        <x:v>C</x:v>
      </x:c>
      <x:c r="M169" s="89" t="str">
        <x:v>APPROVE_RECOMMENDATION</x:v>
      </x:c>
      <x:c r="N169" s="101" t="n">
        <x:v>2760.7836276468024</x:v>
      </x:c>
      <x:c r="O169" s="73" t="n">
        <x:v>0</x:v>
      </x:c>
    </x:row>
    <x:row r="170">
      <x:c r="A170" s="89" t="str">
        <x:v>APP-0027246</x:v>
      </x:c>
      <x:c r="B170" s="89" t="str">
        <x:v>2025-01-05</x:v>
      </x:c>
      <x:c r="C170" s="89" t="str">
        <x:v>Branch</x:v>
      </x:c>
      <x:c r="D170" s="89" t="str">
        <x:v>Marmara</x:v>
      </x:c>
      <x:c r="E170" s="89" t="str">
        <x:v>Self-employed</x:v>
      </x:c>
      <x:c r="F170" s="101" t="n">
        <x:v>121611.47</x:v>
      </x:c>
      <x:c r="G170" s="101" t="n">
        <x:v>135242.58</x:v>
      </x:c>
      <x:c r="H170" s="67" t="n">
        <x:v>0.29154</x:v>
      </x:c>
      <x:c r="I170" s="73" t="n">
        <x:v>712</x:v>
      </x:c>
      <x:c r="J170" s="67" t="n">
        <x:v>0.05686583035047998</x:v>
      </x:c>
      <x:c r="K170" s="73" t="n">
        <x:v>694</x:v>
      </x:c>
      <x:c r="L170" s="89" t="str">
        <x:v>B</x:v>
      </x:c>
      <x:c r="M170" s="89" t="str">
        <x:v>APPROVE_RECOMMENDATION</x:v>
      </x:c>
      <x:c r="N170" s="101" t="n">
        <x:v>3460.8067246985474</x:v>
      </x:c>
      <x:c r="O170" s="73" t="n">
        <x:v>0</x:v>
      </x:c>
    </x:row>
    <x:row r="171">
      <x:c r="A171" s="89" t="str">
        <x:v>APP-0027591</x:v>
      </x:c>
      <x:c r="B171" s="89" t="str">
        <x:v>2025-01-05</x:v>
      </x:c>
      <x:c r="C171" s="89" t="str">
        <x:v>Branch</x:v>
      </x:c>
      <x:c r="D171" s="89" t="str">
        <x:v>Mediterranean</x:v>
      </x:c>
      <x:c r="E171" s="89" t="str">
        <x:v>Public sector</x:v>
      </x:c>
      <x:c r="F171" s="101" t="n">
        <x:v>30963.09</x:v>
      </x:c>
      <x:c r="G171" s="101" t="n">
        <x:v>61647.85</x:v>
      </x:c>
      <x:c r="H171" s="67" t="n">
        <x:v>0.2315</x:v>
      </x:c>
      <x:c r="I171" s="73" t="n">
        <x:v>631</x:v>
      </x:c>
      <x:c r="J171" s="67" t="n">
        <x:v>0.08801208785018773</x:v>
      </x:c>
      <x:c r="K171" s="73" t="n">
        <x:v>660</x:v>
      </x:c>
      <x:c r="L171" s="89" t="str">
        <x:v>C</x:v>
      </x:c>
      <x:c r="M171" s="89" t="str">
        <x:v>APPROVE_RECOMMENDATION</x:v>
      </x:c>
      <x:c r="N171" s="101" t="n">
        <x:v>2441.5901954888377</x:v>
      </x:c>
      <x:c r="O171" s="73" t="n">
        <x:v>0</x:v>
      </x:c>
    </x:row>
    <x:row r="172">
      <x:c r="A172" s="89" t="str">
        <x:v>APP-0028761</x:v>
      </x:c>
      <x:c r="B172" s="89" t="str">
        <x:v>2025-01-05</x:v>
      </x:c>
      <x:c r="C172" s="89" t="str">
        <x:v>Mobile</x:v>
      </x:c>
      <x:c r="D172" s="89" t="str">
        <x:v>Aegean</x:v>
      </x:c>
      <x:c r="E172" s="89" t="str">
        <x:v>Salaried</x:v>
      </x:c>
      <x:c r="F172" s="101" t="n">
        <x:v>30261.54</x:v>
      </x:c>
      <x:c r="G172" s="101" t="n">
        <x:v>29896.61</x:v>
      </x:c>
      <x:c r="H172" s="67" t="n">
        <x:v>0.08321</x:v>
      </x:c>
      <x:c r="I172" s="73" t="n">
        <x:v>701</x:v>
      </x:c>
      <x:c r="J172" s="67" t="n">
        <x:v>0.06383359358384233</x:v>
      </x:c>
      <x:c r="K172" s="73" t="n">
        <x:v>685</x:v>
      </x:c>
      <x:c r="L172" s="89" t="str">
        <x:v>C</x:v>
      </x:c>
      <x:c r="M172" s="89" t="str">
        <x:v>APPROVE_RECOMMENDATION</x:v>
      </x:c>
      <x:c r="N172" s="101" t="n">
        <x:v>858.7836235235865</x:v>
      </x:c>
      <x:c r="O172" s="73" t="n">
        <x:v>0</x:v>
      </x:c>
    </x:row>
    <x:row r="173">
      <x:c r="A173" s="89" t="str">
        <x:v>APP-0029323</x:v>
      </x:c>
      <x:c r="B173" s="89" t="str">
        <x:v>2025-01-05</x:v>
      </x:c>
      <x:c r="C173" s="89" t="str">
        <x:v>Mobile</x:v>
      </x:c>
      <x:c r="D173" s="89" t="str">
        <x:v>Central Anatolia</x:v>
      </x:c>
      <x:c r="E173" s="89" t="str">
        <x:v>Salaried</x:v>
      </x:c>
      <x:c r="F173" s="101" t="n">
        <x:v>81056.17</x:v>
      </x:c>
      <x:c r="G173" s="101" t="n">
        <x:v>73993.4</x:v>
      </x:c>
      <x:c r="H173" s="67" t="n">
        <x:v>0.3707</x:v>
      </x:c>
      <x:c r="I173" s="73" t="n">
        <x:v>759</x:v>
      </x:c>
      <x:c r="J173" s="67" t="n">
        <x:v>0.03451754368542716</x:v>
      </x:c>
      <x:c r="K173" s="73" t="n">
        <x:v>732</x:v>
      </x:c>
      <x:c r="L173" s="89" t="str">
        <x:v>B</x:v>
      </x:c>
      <x:c r="M173" s="89" t="str">
        <x:v>APPROVE_RECOMMENDATION</x:v>
      </x:c>
      <x:c r="N173" s="101" t="n">
        <x:v>1149.3316876199785</x:v>
      </x:c>
      <x:c r="O173" s="73" t="n">
        <x:v>0</x:v>
      </x:c>
    </x:row>
    <x:row r="174">
      <x:c r="A174" s="89" t="str">
        <x:v>APP-0032303</x:v>
      </x:c>
      <x:c r="B174" s="89" t="str">
        <x:v>2025-01-05</x:v>
      </x:c>
      <x:c r="C174" s="89" t="str">
        <x:v>Mobile</x:v>
      </x:c>
      <x:c r="D174" s="89" t="str">
        <x:v>Central Anatolia</x:v>
      </x:c>
      <x:c r="E174" s="89" t="str">
        <x:v>Self-employed</x:v>
      </x:c>
      <x:c r="F174" s="101" t="n">
        <x:v>25579.82</x:v>
      </x:c>
      <x:c r="G174" s="101" t="n">
        <x:v>49269.23</x:v>
      </x:c>
      <x:c r="H174" s="67" t="n">
        <x:v>0.64161</x:v>
      </x:c>
      <x:c r="I174" s="73" t="n">
        <x:v>674</x:v>
      </x:c>
      <x:c r="J174" s="67" t="n">
        <x:v>0.13373464316933342</x:v>
      </x:c>
      <x:c r="K174" s="73" t="n">
        <x:v>626</x:v>
      </x:c>
      <x:c r="L174" s="89" t="str">
        <x:v>D</x:v>
      </x:c>
      <x:c r="M174" s="89" t="str">
        <x:v>REFER</x:v>
      </x:c>
      <x:c r="N174" s="101" t="n">
        <x:v>2965.051301975018</x:v>
      </x:c>
      <x:c r="O174" s="73" t="n">
        <x:v>0</x:v>
      </x:c>
    </x:row>
    <x:row r="175">
      <x:c r="A175" s="89" t="str">
        <x:v>APP-0034261</x:v>
      </x:c>
      <x:c r="B175" s="89" t="str">
        <x:v>2025-01-05</x:v>
      </x:c>
      <x:c r="C175" s="89" t="str">
        <x:v>Web</x:v>
      </x:c>
      <x:c r="D175" s="89" t="str">
        <x:v>Aegean</x:v>
      </x:c>
      <x:c r="E175" s="89" t="str">
        <x:v>Salaried</x:v>
      </x:c>
      <x:c r="F175" s="101" t="n">
        <x:v>44550.44</x:v>
      </x:c>
      <x:c r="G175" s="101" t="n">
        <x:v>44170.23</x:v>
      </x:c>
      <x:c r="H175" s="67" t="n">
        <x:v>0.06959</x:v>
      </x:c>
      <x:c r="I175" s="73" t="n">
        <x:v>678</x:v>
      </x:c>
      <x:c r="J175" s="67" t="n">
        <x:v>0.1252432463671392</x:v>
      </x:c>
      <x:c r="K175" s="73" t="n">
        <x:v>632</x:v>
      </x:c>
      <x:c r="L175" s="89" t="str">
        <x:v>D</x:v>
      </x:c>
      <x:c r="M175" s="89" t="str">
        <x:v>REFER</x:v>
      </x:c>
      <x:c r="N175" s="101" t="n">
        <x:v>2489.4103490924417</x:v>
      </x:c>
      <x:c r="O175" s="73" t="n">
        <x:v>1</x:v>
      </x:c>
    </x:row>
    <x:row r="176">
      <x:c r="A176" s="89" t="str">
        <x:v>APP-0034334</x:v>
      </x:c>
      <x:c r="B176" s="89" t="str">
        <x:v>2025-01-05</x:v>
      </x:c>
      <x:c r="C176" s="89" t="str">
        <x:v>Mobile</x:v>
      </x:c>
      <x:c r="D176" s="89" t="str">
        <x:v>Central Anatolia</x:v>
      </x:c>
      <x:c r="E176" s="89" t="str">
        <x:v>Self-employed</x:v>
      </x:c>
      <x:c r="F176" s="101" t="n">
        <x:v>66812.52</x:v>
      </x:c>
      <x:c r="G176" s="101" t="n">
        <x:v>24251.64</x:v>
      </x:c>
      <x:c r="H176" s="67" t="n">
        <x:v>0.37018</x:v>
      </x:c>
      <x:c r="I176" s="73" t="n">
        <x:v>582</x:v>
      </x:c>
      <x:c r="J176" s="67" t="n">
        <x:v>0.35929758955499513</x:v>
      </x:c>
      <x:c r="K176" s="73" t="n">
        <x:v>533</x:v>
      </x:c>
      <x:c r="L176" s="89" t="str">
        <x:v>F</x:v>
      </x:c>
      <x:c r="M176" s="89" t="str">
        <x:v>DECLINE_RECOMMENDATION</x:v>
      </x:c>
      <x:c r="N176" s="101" t="n">
        <x:v>3921.100107639976</x:v>
      </x:c>
      <x:c r="O176" s="73" t="n">
        <x:v>0</x:v>
      </x:c>
    </x:row>
    <x:row r="177">
      <x:c r="A177" s="89" t="str">
        <x:v>APP-0034677</x:v>
      </x:c>
      <x:c r="B177" s="89" t="str">
        <x:v>2025-01-05</x:v>
      </x:c>
      <x:c r="C177" s="89" t="str">
        <x:v>Branch</x:v>
      </x:c>
      <x:c r="D177" s="89" t="str">
        <x:v>Mediterranean</x:v>
      </x:c>
      <x:c r="E177" s="89" t="str">
        <x:v>Salaried</x:v>
      </x:c>
      <x:c r="F177" s="101" t="n">
        <x:v>26631.38</x:v>
      </x:c>
      <x:c r="G177" s="101" t="n">
        <x:v>14827.31</x:v>
      </x:c>
      <x:c r="H177" s="67" t="n">
        <x:v>0.09282</x:v>
      </x:c>
      <x:c r="I177" s="73" t="n">
        <x:v>702</x:v>
      </x:c>
      <x:c r="J177" s="67" t="n">
        <x:v>0.15012287661373389</x:v>
      </x:c>
      <x:c r="K177" s="73" t="n">
        <x:v>617</x:v>
      </x:c>
      <x:c r="L177" s="89" t="str">
        <x:v>E</x:v>
      </x:c>
      <x:c r="M177" s="89" t="str">
        <x:v>REFER</x:v>
      </x:c>
      <x:c r="N177" s="101" t="n">
        <x:v>1001.6632933396121</x:v>
      </x:c>
      <x:c r="O177" s="73" t="n">
        <x:v>0</x:v>
      </x:c>
    </x:row>
    <x:row r="178">
      <x:c r="A178" s="89" t="str">
        <x:v>APP-0034939</x:v>
      </x:c>
      <x:c r="B178" s="89" t="str">
        <x:v>2025-01-05</x:v>
      </x:c>
      <x:c r="C178" s="89" t="str">
        <x:v>Mobile</x:v>
      </x:c>
      <x:c r="D178" s="89" t="str">
        <x:v>Aegean</x:v>
      </x:c>
      <x:c r="E178" s="89" t="str">
        <x:v>Public sector</x:v>
      </x:c>
      <x:c r="F178" s="101" t="n">
        <x:v>47450.71</x:v>
      </x:c>
      <x:c r="G178" s="101" t="n">
        <x:v>77629.86</x:v>
      </x:c>
      <x:c r="H178" s="67" t="n">
        <x:v>0.35568</x:v>
      </x:c>
      <x:c r="I178" s="73" t="n">
        <x:v>626</x:v>
      </x:c>
      <x:c r="J178" s="67" t="n">
        <x:v>0.18605421480794382</x:v>
      </x:c>
      <x:c r="K178" s="73" t="n">
        <x:v>598</x:v>
      </x:c>
      <x:c r="L178" s="89" t="str">
        <x:v>E</x:v>
      </x:c>
      <x:c r="M178" s="89" t="str">
        <x:v>REFER</x:v>
      </x:c>
      <x:c r="N178" s="101" t="n">
        <x:v>6499.513191577772</x:v>
      </x:c>
      <x:c r="O178" s="73" t="n">
        <x:v>0</x:v>
      </x:c>
    </x:row>
    <x:row r="179">
      <x:c r="A179" s="89" t="str">
        <x:v>APP-0035613</x:v>
      </x:c>
      <x:c r="B179" s="89" t="str">
        <x:v>2025-01-05</x:v>
      </x:c>
      <x:c r="C179" s="89" t="str">
        <x:v>Mobile</x:v>
      </x:c>
      <x:c r="D179" s="89" t="str">
        <x:v>Marmara</x:v>
      </x:c>
      <x:c r="E179" s="89" t="str">
        <x:v>Retired</x:v>
      </x:c>
      <x:c r="F179" s="101" t="n">
        <x:v>20541.18</x:v>
      </x:c>
      <x:c r="G179" s="101" t="n">
        <x:v>47162.93</x:v>
      </x:c>
      <x:c r="H179" s="67" t="n">
        <x:v>0.37745</x:v>
      </x:c>
      <x:c r="I179" s="73" t="n">
        <x:v>649</x:v>
      </x:c>
      <x:c r="J179" s="67" t="n">
        <x:v>0.13221177044307497</x:v>
      </x:c>
      <x:c r="K179" s="73" t="n">
        <x:v>627</x:v>
      </x:c>
      <x:c r="L179" s="89" t="str">
        <x:v>D</x:v>
      </x:c>
      <x:c r="M179" s="89" t="str">
        <x:v>REFER</x:v>
      </x:c>
      <x:c r="N179" s="101" t="n">
        <x:v>2805.9725135622666</x:v>
      </x:c>
      <x:c r="O179" s="73" t="n">
        <x:v>0</x:v>
      </x:c>
    </x:row>
    <x:row r="180">
      <x:c r="A180" s="89" t="str">
        <x:v>APP-0038675</x:v>
      </x:c>
      <x:c r="B180" s="89" t="str">
        <x:v>2025-01-05</x:v>
      </x:c>
      <x:c r="C180" s="89" t="str">
        <x:v>Mobile</x:v>
      </x:c>
      <x:c r="D180" s="89" t="str">
        <x:v>Marmara</x:v>
      </x:c>
      <x:c r="E180" s="89" t="str">
        <x:v>Salaried</x:v>
      </x:c>
      <x:c r="F180" s="101" t="n">
        <x:v>35264.62</x:v>
      </x:c>
      <x:c r="G180" s="101" t="n">
        <x:v>81768.48</x:v>
      </x:c>
      <x:c r="H180" s="67" t="n">
        <x:v>0.18992</x:v>
      </x:c>
      <x:c r="I180" s="73" t="n">
        <x:v>659</x:v>
      </x:c>
      <x:c r="J180" s="67" t="n">
        <x:v>0.2534656798645708</x:v>
      </x:c>
      <x:c r="K180" s="73" t="n">
        <x:v>569</x:v>
      </x:c>
      <x:c r="L180" s="89" t="str">
        <x:v>F</x:v>
      </x:c>
      <x:c r="M180" s="89" t="str">
        <x:v>DECLINE_RECOMMENDATION</x:v>
      </x:c>
      <x:c r="N180" s="101" t="n">
        <x:v>9326.476518611653</x:v>
      </x:c>
      <x:c r="O180" s="73" t="n">
        <x:v>0</x:v>
      </x:c>
    </x:row>
    <x:row r="181">
      <x:c r="A181" s="89" t="str">
        <x:v>APP-0042308</x:v>
      </x:c>
      <x:c r="B181" s="89" t="str">
        <x:v>2025-01-05</x:v>
      </x:c>
      <x:c r="C181" s="89" t="str">
        <x:v>Mobile</x:v>
      </x:c>
      <x:c r="D181" s="89" t="str">
        <x:v>Marmara</x:v>
      </x:c>
      <x:c r="E181" s="89" t="str">
        <x:v>Public sector</x:v>
      </x:c>
      <x:c r="F181" s="101" t="n">
        <x:v>39894.11</x:v>
      </x:c>
      <x:c r="G181" s="101" t="n">
        <x:v>53691.68</x:v>
      </x:c>
      <x:c r="H181" s="67" t="n">
        <x:v>0.50571</x:v>
      </x:c>
      <x:c r="I181" s="73" t="n">
        <x:v>650</x:v>
      </x:c>
      <x:c r="J181" s="67" t="n">
        <x:v>0.19304045189435187</x:v>
      </x:c>
      <x:c r="K181" s="73" t="n">
        <x:v>595</x:v>
      </x:c>
      <x:c r="L181" s="89" t="str">
        <x:v>E</x:v>
      </x:c>
      <x:c r="M181" s="89" t="str">
        <x:v>REFER</x:v>
      </x:c>
      <x:c r="N181" s="101" t="n">
        <x:v>4664.099776575121</x:v>
      </x:c>
      <x:c r="O181" s="73" t="n">
        <x:v>0</x:v>
      </x:c>
    </x:row>
    <x:row r="182">
      <x:c r="A182" s="89" t="str">
        <x:v>APP-0042515</x:v>
      </x:c>
      <x:c r="B182" s="89" t="str">
        <x:v>2025-01-05</x:v>
      </x:c>
      <x:c r="C182" s="89" t="str">
        <x:v>Branch</x:v>
      </x:c>
      <x:c r="D182" s="89" t="str">
        <x:v>Central Anatolia</x:v>
      </x:c>
      <x:c r="E182" s="89" t="str">
        <x:v>Public sector</x:v>
      </x:c>
      <x:c r="F182" s="101" t="n">
        <x:v>52446.56</x:v>
      </x:c>
      <x:c r="G182" s="101" t="n">
        <x:v>32515.76</x:v>
      </x:c>
      <x:c r="H182" s="67" t="n">
        <x:v>0.36447</x:v>
      </x:c>
      <x:c r="I182" s="73" t="n">
        <x:v>718</x:v>
      </x:c>
      <x:c r="J182" s="67" t="n">
        <x:v>0.04279606973755553</x:v>
      </x:c>
      <x:c r="K182" s="73" t="n">
        <x:v>716</x:v>
      </x:c>
      <x:c r="L182" s="89" t="str">
        <x:v>B</x:v>
      </x:c>
      <x:c r="M182" s="89" t="str">
        <x:v>APPROVE_RECOMMENDATION</x:v>
      </x:c>
      <x:c r="N182" s="101" t="n">
        <x:v>626.1960296383284</x:v>
      </x:c>
      <x:c r="O182" s="73" t="n">
        <x:v>1</x:v>
      </x:c>
    </x:row>
    <x:row r="183">
      <x:c r="A183" s="89" t="str">
        <x:v>APP-0043090</x:v>
      </x:c>
      <x:c r="B183" s="89" t="str">
        <x:v>2025-01-05</x:v>
      </x:c>
      <x:c r="C183" s="89" t="str">
        <x:v>Web</x:v>
      </x:c>
      <x:c r="D183" s="89" t="str">
        <x:v>Marmara</x:v>
      </x:c>
      <x:c r="E183" s="89" t="str">
        <x:v>Self-employed</x:v>
      </x:c>
      <x:c r="F183" s="101" t="n">
        <x:v>58867.77</x:v>
      </x:c>
      <x:c r="G183" s="101" t="n">
        <x:v>64339.47</x:v>
      </x:c>
      <x:c r="H183" s="67" t="n">
        <x:v>0.23076</x:v>
      </x:c>
      <x:c r="I183" s="73" t="n">
        <x:v>747</x:v>
      </x:c>
      <x:c r="J183" s="67" t="n">
        <x:v>0.023685789103193147</x:v>
      </x:c>
      <x:c r="K183" s="73" t="n">
        <x:v>760</x:v>
      </x:c>
      <x:c r="L183" s="89" t="str">
        <x:v>A</x:v>
      </x:c>
      <x:c r="M183" s="89" t="str">
        <x:v>APPROVE_RECOMMENDATION</x:v>
      </x:c>
      <x:c r="N183" s="101" t="n">
        <x:v>685.7690028440502</x:v>
      </x:c>
      <x:c r="O183" s="73" t="n">
        <x:v>0</x:v>
      </x:c>
    </x:row>
    <x:row r="184">
      <x:c r="A184" s="89" t="str">
        <x:v>APP-0047641</x:v>
      </x:c>
      <x:c r="B184" s="89" t="str">
        <x:v>2025-01-05</x:v>
      </x:c>
      <x:c r="C184" s="89" t="str">
        <x:v>Web</x:v>
      </x:c>
      <x:c r="D184" s="89" t="str">
        <x:v>Mediterranean</x:v>
      </x:c>
      <x:c r="E184" s="89" t="str">
        <x:v>Salaried</x:v>
      </x:c>
      <x:c r="F184" s="101" t="n">
        <x:v>19952.62</x:v>
      </x:c>
      <x:c r="G184" s="101" t="n">
        <x:v>34310.15</x:v>
      </x:c>
      <x:c r="H184" s="67" t="n">
        <x:v>0.10761</x:v>
      </x:c>
      <x:c r="I184" s="73" t="n">
        <x:v>699</x:v>
      </x:c>
      <x:c r="J184" s="67" t="n">
        <x:v>0.032100465667247634</x:v>
      </x:c>
      <x:c r="K184" s="73" t="n">
        <x:v>737</x:v>
      </x:c>
      <x:c r="L184" s="89" t="str">
        <x:v>B</x:v>
      </x:c>
      <x:c r="M184" s="89" t="str">
        <x:v>APPROVE_RECOMMENDATION</x:v>
      </x:c>
      <x:c r="N184" s="101" t="n">
        <x:v>495.61730645090245</x:v>
      </x:c>
      <x:c r="O184" s="73" t="n">
        <x:v>0</x:v>
      </x:c>
    </x:row>
    <x:row r="185">
      <x:c r="A185" s="89" t="str">
        <x:v>APP-0000058</x:v>
      </x:c>
      <x:c r="B185" s="89" t="str">
        <x:v>2025-01-06</x:v>
      </x:c>
      <x:c r="C185" s="89" t="str">
        <x:v>Mobile</x:v>
      </x:c>
      <x:c r="D185" s="89" t="str">
        <x:v>Marmara</x:v>
      </x:c>
      <x:c r="E185" s="89" t="str">
        <x:v>Self-employed</x:v>
      </x:c>
      <x:c r="F185" s="101" t="n">
        <x:v>69388.68</x:v>
      </x:c>
      <x:c r="G185" s="101" t="n">
        <x:v>228958.66</x:v>
      </x:c>
      <x:c r="H185" s="67" t="n">
        <x:v>0.28276</x:v>
      </x:c>
      <x:c r="I185" s="73" t="n">
        <x:v>699</x:v>
      </x:c>
      <x:c r="J185" s="67" t="n">
        <x:v>0.06036382854273748</x:v>
      </x:c>
      <x:c r="K185" s="73" t="n">
        <x:v>690</x:v>
      </x:c>
      <x:c r="L185" s="89" t="str">
        <x:v>C</x:v>
      </x:c>
      <x:c r="M185" s="89" t="str">
        <x:v>APPROVE_RECOMMENDATION</x:v>
      </x:c>
      <x:c r="N185" s="101" t="n">
        <x:v>6219.369583026717</x:v>
      </x:c>
      <x:c r="O185" s="73" t="n">
        <x:v>0</x:v>
      </x:c>
    </x:row>
    <x:row r="186">
      <x:c r="A186" s="89" t="str">
        <x:v>APP-0001185</x:v>
      </x:c>
      <x:c r="B186" s="89" t="str">
        <x:v>2025-01-06</x:v>
      </x:c>
      <x:c r="C186" s="89" t="str">
        <x:v>Web</x:v>
      </x:c>
      <x:c r="D186" s="89" t="str">
        <x:v>Mediterranean</x:v>
      </x:c>
      <x:c r="E186" s="89" t="str">
        <x:v>Self-employed</x:v>
      </x:c>
      <x:c r="F186" s="101" t="n">
        <x:v>86742.55</x:v>
      </x:c>
      <x:c r="G186" s="101" t="n">
        <x:v>106767.92</x:v>
      </x:c>
      <x:c r="H186" s="67" t="n">
        <x:v>0.31514</x:v>
      </x:c>
      <x:c r="I186" s="73" t="n">
        <x:v>732</x:v>
      </x:c>
      <x:c r="J186" s="67" t="n">
        <x:v>0.05631268313016972</x:v>
      </x:c>
      <x:c r="K186" s="73" t="n">
        <x:v>695</x:v>
      </x:c>
      <x:c r="L186" s="89" t="str">
        <x:v>B</x:v>
      </x:c>
      <x:c r="M186" s="89" t="str">
        <x:v>APPROVE_RECOMMENDATION</x:v>
      </x:c>
      <x:c r="N186" s="101" t="n">
        <x:v>2705.5746213422894</x:v>
      </x:c>
      <x:c r="O186" s="73" t="n">
        <x:v>0</x:v>
      </x:c>
    </x:row>
    <x:row r="187">
      <x:c r="A187" s="89" t="str">
        <x:v>APP-0001791</x:v>
      </x:c>
      <x:c r="B187" s="89" t="str">
        <x:v>2025-01-06</x:v>
      </x:c>
      <x:c r="C187" s="89" t="str">
        <x:v>Web</x:v>
      </x:c>
      <x:c r="D187" s="89" t="str">
        <x:v>Aegean</x:v>
      </x:c>
      <x:c r="E187" s="89" t="str">
        <x:v>Contract</x:v>
      </x:c>
      <x:c r="F187" s="101" t="n">
        <x:v>28616.85</x:v>
      </x:c>
      <x:c r="G187" s="101" t="n">
        <x:v>18124.11</x:v>
      </x:c>
      <x:c r="H187" s="67" t="n">
        <x:v>0.27628</x:v>
      </x:c>
      <x:c r="I187" s="73" t="n">
        <x:v>627</x:v>
      </x:c>
      <x:c r="J187" s="67" t="n">
        <x:v>0.3429107115593157</x:v>
      </x:c>
      <x:c r="K187" s="73" t="n">
        <x:v>538</x:v>
      </x:c>
      <x:c r="L187" s="89" t="str">
        <x:v>F</x:v>
      </x:c>
      <x:c r="M187" s="89" t="str">
        <x:v>DECLINE_RECOMMENDATION</x:v>
      </x:c>
      <x:c r="N187" s="101" t="n">
        <x:v>2796.7281554156893</x:v>
      </x:c>
      <x:c r="O187" s="73" t="n">
        <x:v>0</x:v>
      </x:c>
    </x:row>
    <x:row r="188">
      <x:c r="A188" s="89" t="str">
        <x:v>APP-0002330</x:v>
      </x:c>
      <x:c r="B188" s="89" t="str">
        <x:v>2025-01-06</x:v>
      </x:c>
      <x:c r="C188" s="89" t="str">
        <x:v>Branch</x:v>
      </x:c>
      <x:c r="D188" s="89" t="str">
        <x:v>Marmara</x:v>
      </x:c>
      <x:c r="E188" s="89" t="str">
        <x:v>Salaried</x:v>
      </x:c>
      <x:c r="F188" s="101" t="n">
        <x:v>27257.62</x:v>
      </x:c>
      <x:c r="G188" s="101" t="n">
        <x:v>20589.32</x:v>
      </x:c>
      <x:c r="H188" s="67" t="n">
        <x:v>0.19105</x:v>
      </x:c>
      <x:c r="I188" s="73" t="n">
        <x:v>712</x:v>
      </x:c>
      <x:c r="J188" s="67" t="n">
        <x:v>0.06519980515868556</x:v>
      </x:c>
      <x:c r="K188" s="73" t="n">
        <x:v>684</x:v>
      </x:c>
      <x:c r="L188" s="89" t="str">
        <x:v>C</x:v>
      </x:c>
      <x:c r="M188" s="89" t="str">
        <x:v>APPROVE_RECOMMENDATION</x:v>
      </x:c>
      <x:c r="N188" s="101" t="n">
        <x:v>604.0888435574225</x:v>
      </x:c>
      <x:c r="O188" s="73" t="n">
        <x:v>0</x:v>
      </x:c>
    </x:row>
    <x:row r="189">
      <x:c r="A189" s="89" t="str">
        <x:v>APP-0004004</x:v>
      </x:c>
      <x:c r="B189" s="89" t="str">
        <x:v>2025-01-06</x:v>
      </x:c>
      <x:c r="C189" s="89" t="str">
        <x:v>Partner</x:v>
      </x:c>
      <x:c r="D189" s="89" t="str">
        <x:v>Mediterranean</x:v>
      </x:c>
      <x:c r="E189" s="89" t="str">
        <x:v>Self-employed</x:v>
      </x:c>
      <x:c r="F189" s="101" t="n">
        <x:v>48341.04</x:v>
      </x:c>
      <x:c r="G189" s="101" t="n">
        <x:v>10000</x:v>
      </x:c>
      <x:c r="H189" s="67" t="n">
        <x:v>0.13798</x:v>
      </x:c>
      <x:c r="I189" s="73" t="n">
        <x:v>666</x:v>
      </x:c>
      <x:c r="J189" s="67" t="n">
        <x:v>0.27817403199037644</x:v>
      </x:c>
      <x:c r="K189" s="73" t="n">
        <x:v>560</x:v>
      </x:c>
      <x:c r="L189" s="89" t="str">
        <x:v>F</x:v>
      </x:c>
      <x:c r="M189" s="89" t="str">
        <x:v>DECLINE_RECOMMENDATION</x:v>
      </x:c>
      <x:c r="N189" s="101" t="n">
        <x:v>1251.783143956694</x:v>
      </x:c>
      <x:c r="O189" s="73" t="n">
        <x:v>0</x:v>
      </x:c>
    </x:row>
    <x:row r="190">
      <x:c r="A190" s="89" t="str">
        <x:v>APP-0007560</x:v>
      </x:c>
      <x:c r="B190" s="89" t="str">
        <x:v>2025-01-06</x:v>
      </x:c>
      <x:c r="C190" s="89" t="str">
        <x:v>Mobile</x:v>
      </x:c>
      <x:c r="D190" s="89" t="str">
        <x:v>Central Anatolia</x:v>
      </x:c>
      <x:c r="E190" s="89" t="str">
        <x:v>Salaried</x:v>
      </x:c>
      <x:c r="F190" s="101" t="n">
        <x:v>63178.09</x:v>
      </x:c>
      <x:c r="G190" s="101" t="n">
        <x:v>68301.95</x:v>
      </x:c>
      <x:c r="H190" s="67" t="n">
        <x:v>0.05853</x:v>
      </x:c>
      <x:c r="I190" s="73" t="n">
        <x:v>714</x:v>
      </x:c>
      <x:c r="J190" s="67" t="n">
        <x:v>0.027266062054118065</x:v>
      </x:c>
      <x:c r="K190" s="73" t="n">
        <x:v>749</x:v>
      </x:c>
      <x:c r="L190" s="89" t="str">
        <x:v>A</x:v>
      </x:c>
      <x:c r="M190" s="89" t="str">
        <x:v>APPROVE_RECOMMENDATION</x:v>
      </x:c>
      <x:c r="N190" s="101" t="n">
        <x:v>838.0463432027713</x:v>
      </x:c>
      <x:c r="O190" s="73" t="n">
        <x:v>0</x:v>
      </x:c>
    </x:row>
    <x:row r="191">
      <x:c r="A191" s="89" t="str">
        <x:v>APP-0009053</x:v>
      </x:c>
      <x:c r="B191" s="89" t="str">
        <x:v>2025-01-06</x:v>
      </x:c>
      <x:c r="C191" s="89" t="str">
        <x:v>Branch</x:v>
      </x:c>
      <x:c r="D191" s="89" t="str">
        <x:v>Central Anatolia</x:v>
      </x:c>
      <x:c r="E191" s="89" t="str">
        <x:v>Salaried</x:v>
      </x:c>
      <x:c r="F191" s="101" t="n">
        <x:v>52792.35</x:v>
      </x:c>
      <x:c r="G191" s="101" t="n">
        <x:v>42490.93</x:v>
      </x:c>
      <x:c r="H191" s="67" t="n">
        <x:v>0.28418</x:v>
      </x:c>
      <x:c r="I191" s="73" t="n">
        <x:v>740</x:v>
      </x:c>
      <x:c r="J191" s="67" t="n">
        <x:v>0.02901503898057414</x:v>
      </x:c>
      <x:c r="K191" s="73" t="n">
        <x:v>745</x:v>
      </x:c>
      <x:c r="L191" s="89" t="str">
        <x:v>A</x:v>
      </x:c>
      <x:c r="M191" s="89" t="str">
        <x:v>APPROVE_RECOMMENDATION</x:v>
      </x:c>
      <x:c r="N191" s="101" t="n">
        <x:v>554.7941956218813</x:v>
      </x:c>
      <x:c r="O191" s="73" t="n">
        <x:v>0</x:v>
      </x:c>
    </x:row>
    <x:row r="192">
      <x:c r="A192" s="89" t="str">
        <x:v>APP-0009503</x:v>
      </x:c>
      <x:c r="B192" s="89" t="str">
        <x:v>2025-01-06</x:v>
      </x:c>
      <x:c r="C192" s="89" t="str">
        <x:v>Branch</x:v>
      </x:c>
      <x:c r="D192" s="89" t="str">
        <x:v>Marmara</x:v>
      </x:c>
      <x:c r="E192" s="89" t="str">
        <x:v>Self-employed</x:v>
      </x:c>
      <x:c r="F192" s="101" t="n">
        <x:v>87193.8</x:v>
      </x:c>
      <x:c r="G192" s="101" t="n">
        <x:v>84570.7</x:v>
      </x:c>
      <x:c r="H192" s="67" t="n">
        <x:v>0.2216</x:v>
      </x:c>
      <x:c r="I192" s="73" t="n">
        <x:v>630</x:v>
      </x:c>
      <x:c r="J192" s="67" t="n">
        <x:v>0.12807155275498602</x:v>
      </x:c>
      <x:c r="K192" s="73" t="n">
        <x:v>630</x:v>
      </x:c>
      <x:c r="L192" s="89" t="str">
        <x:v>D</x:v>
      </x:c>
      <x:c r="M192" s="89" t="str">
        <x:v>REFER</x:v>
      </x:c>
      <x:c r="N192" s="101" t="n">
        <x:v>4873.995389959244</x:v>
      </x:c>
      <x:c r="O192" s="73" t="n">
        <x:v>0</x:v>
      </x:c>
    </x:row>
    <x:row r="193">
      <x:c r="A193" s="89" t="str">
        <x:v>APP-0010205</x:v>
      </x:c>
      <x:c r="B193" s="89" t="str">
        <x:v>2025-01-06</x:v>
      </x:c>
      <x:c r="C193" s="89" t="str">
        <x:v>Web</x:v>
      </x:c>
      <x:c r="D193" s="89" t="str">
        <x:v>Central Anatolia</x:v>
      </x:c>
      <x:c r="E193" s="89" t="str">
        <x:v>Salaried</x:v>
      </x:c>
      <x:c r="F193" s="101" t="n">
        <x:v>61002.66</x:v>
      </x:c>
      <x:c r="G193" s="101" t="n">
        <x:v>156583.72</x:v>
      </x:c>
      <x:c r="H193" s="67" t="n">
        <x:v>0.1908</x:v>
      </x:c>
      <x:c r="I193" s="73" t="n">
        <x:v>707</x:v>
      </x:c>
      <x:c r="J193" s="67" t="n">
        <x:v>0.04493313613116915</x:v>
      </x:c>
      <x:c r="K193" s="73" t="n">
        <x:v>712</x:v>
      </x:c>
      <x:c r="L193" s="89" t="str">
        <x:v>B</x:v>
      </x:c>
      <x:c r="M193" s="89" t="str">
        <x:v>APPROVE_RECOMMENDATION</x:v>
      </x:c>
      <x:c r="N193" s="101" t="n">
        <x:v>3166.108923008193</x:v>
      </x:c>
      <x:c r="O193" s="73" t="n">
        <x:v>0</x:v>
      </x:c>
    </x:row>
    <x:row r="194">
      <x:c r="A194" s="89" t="str">
        <x:v>APP-0010210</x:v>
      </x:c>
      <x:c r="B194" s="89" t="str">
        <x:v>2025-01-06</x:v>
      </x:c>
      <x:c r="C194" s="89" t="str">
        <x:v>Web</x:v>
      </x:c>
      <x:c r="D194" s="89" t="str">
        <x:v>Aegean</x:v>
      </x:c>
      <x:c r="E194" s="89" t="str">
        <x:v>Self-employed</x:v>
      </x:c>
      <x:c r="F194" s="101" t="n">
        <x:v>48548.91</x:v>
      </x:c>
      <x:c r="G194" s="101" t="n">
        <x:v>36104.46</x:v>
      </x:c>
      <x:c r="H194" s="67" t="n">
        <x:v>0.20326</x:v>
      </x:c>
      <x:c r="I194" s="73" t="n">
        <x:v>651</x:v>
      </x:c>
      <x:c r="J194" s="67" t="n">
        <x:v>0.22889621353901607</x:v>
      </x:c>
      <x:c r="K194" s="73" t="n">
        <x:v>579</x:v>
      </x:c>
      <x:c r="L194" s="89" t="str">
        <x:v>F</x:v>
      </x:c>
      <x:c r="M194" s="89" t="str">
        <x:v>DECLINE_RECOMMENDATION</x:v>
      </x:c>
      <x:c r="N194" s="101" t="n">
        <x:v>3718.878383641889</x:v>
      </x:c>
      <x:c r="O194" s="73" t="n">
        <x:v>0</x:v>
      </x:c>
    </x:row>
    <x:row r="195">
      <x:c r="A195" s="89" t="str">
        <x:v>APP-0010381</x:v>
      </x:c>
      <x:c r="B195" s="89" t="str">
        <x:v>2025-01-06</x:v>
      </x:c>
      <x:c r="C195" s="89" t="str">
        <x:v>Mobile</x:v>
      </x:c>
      <x:c r="D195" s="89" t="str">
        <x:v>Central Anatolia</x:v>
      </x:c>
      <x:c r="E195" s="89" t="str">
        <x:v>Salaried</x:v>
      </x:c>
      <x:c r="F195" s="101" t="n">
        <x:v>33532.52</x:v>
      </x:c>
      <x:c r="G195" s="101" t="n">
        <x:v>73731.33</x:v>
      </x:c>
      <x:c r="H195" s="67" t="n">
        <x:v>0.18867</x:v>
      </x:c>
      <x:c r="I195" s="73" t="n">
        <x:v>662</x:v>
      </x:c>
      <x:c r="J195" s="67" t="n">
        <x:v>0.07001102178908712</x:v>
      </x:c>
      <x:c r="K195" s="73" t="n">
        <x:v>678</x:v>
      </x:c>
      <x:c r="L195" s="89" t="str">
        <x:v>C</x:v>
      </x:c>
      <x:c r="M195" s="89" t="str">
        <x:v>APPROVE_RECOMMENDATION</x:v>
      </x:c>
      <x:c r="N195" s="101" t="n">
        <x:v>2322.9025880257677</x:v>
      </x:c>
      <x:c r="O195" s="73" t="n">
        <x:v>0</x:v>
      </x:c>
    </x:row>
    <x:row r="196">
      <x:c r="A196" s="89" t="str">
        <x:v>APP-0011044</x:v>
      </x:c>
      <x:c r="B196" s="89" t="str">
        <x:v>2025-01-06</x:v>
      </x:c>
      <x:c r="C196" s="89" t="str">
        <x:v>Web</x:v>
      </x:c>
      <x:c r="D196" s="89" t="str">
        <x:v>Black Sea</x:v>
      </x:c>
      <x:c r="E196" s="89" t="str">
        <x:v>Public sector</x:v>
      </x:c>
      <x:c r="F196" s="101" t="n">
        <x:v>28245.32</x:v>
      </x:c>
      <x:c r="G196" s="101" t="n">
        <x:v>31664.6</x:v>
      </x:c>
      <x:c r="H196" s="67" t="n">
        <x:v>0.76666</x:v>
      </x:c>
      <x:c r="I196" s="73" t="n">
        <x:v>689</x:v>
      </x:c>
      <x:c r="J196" s="67" t="n">
        <x:v>0.11932805022680931</x:v>
      </x:c>
      <x:c r="K196" s="73" t="n">
        <x:v>636</x:v>
      </x:c>
      <x:c r="L196" s="89" t="str">
        <x:v>D</x:v>
      </x:c>
      <x:c r="M196" s="89" t="str">
        <x:v>REFER</x:v>
      </x:c>
      <x:c r="N196" s="101" t="n">
        <x:v>1700.3137406453218</x:v>
      </x:c>
      <x:c r="O196" s="73" t="n">
        <x:v>0</x:v>
      </x:c>
    </x:row>
    <x:row r="197">
      <x:c r="A197" s="89" t="str">
        <x:v>APP-0014988</x:v>
      </x:c>
      <x:c r="B197" s="89" t="str">
        <x:v>2025-01-06</x:v>
      </x:c>
      <x:c r="C197" s="89" t="str">
        <x:v>Mobile</x:v>
      </x:c>
      <x:c r="D197" s="89" t="str">
        <x:v>Central Anatolia</x:v>
      </x:c>
      <x:c r="E197" s="89" t="str">
        <x:v>Salaried</x:v>
      </x:c>
      <x:c r="F197" s="101" t="n">
        <x:v>79995.87</x:v>
      </x:c>
      <x:c r="G197" s="101" t="n">
        <x:v>98636.24</x:v>
      </x:c>
      <x:c r="H197" s="67" t="n">
        <x:v>0.3401</x:v>
      </x:c>
      <x:c r="I197" s="73" t="n">
        <x:v>681</x:v>
      </x:c>
      <x:c r="J197" s="67" t="n">
        <x:v>0.10820579183482702</x:v>
      </x:c>
      <x:c r="K197" s="73" t="n">
        <x:v>644</x:v>
      </x:c>
      <x:c r="L197" s="89" t="str">
        <x:v>D</x:v>
      </x:c>
      <x:c r="M197" s="89" t="str">
        <x:v>REFER</x:v>
      </x:c>
      <x:c r="N197" s="101" t="n">
        <x:v>4802.855603764518</x:v>
      </x:c>
      <x:c r="O197" s="73" t="n">
        <x:v>0</x:v>
      </x:c>
    </x:row>
    <x:row r="198">
      <x:c r="A198" s="89" t="str">
        <x:v>APP-0018494</x:v>
      </x:c>
      <x:c r="B198" s="89" t="str">
        <x:v>2025-01-06</x:v>
      </x:c>
      <x:c r="C198" s="89" t="str">
        <x:v>Web</x:v>
      </x:c>
      <x:c r="D198" s="89" t="str">
        <x:v>Mediterranean</x:v>
      </x:c>
      <x:c r="E198" s="89" t="str">
        <x:v>Retired</x:v>
      </x:c>
      <x:c r="F198" s="101" t="n">
        <x:v>39708.52</x:v>
      </x:c>
      <x:c r="G198" s="101" t="n">
        <x:v>93958.86</x:v>
      </x:c>
      <x:c r="H198" s="67" t="n">
        <x:v>0.25508</x:v>
      </x:c>
      <x:c r="I198" s="73" t="n">
        <x:v>633</x:v>
      </x:c>
      <x:c r="J198" s="67" t="n">
        <x:v>0.26331406840261923</x:v>
      </x:c>
      <x:c r="K198" s="73" t="n">
        <x:v>566</x:v>
      </x:c>
      <x:c r="L198" s="89" t="str">
        <x:v>F</x:v>
      </x:c>
      <x:c r="M198" s="89" t="str">
        <x:v>DECLINE_RECOMMENDATION</x:v>
      </x:c>
      <x:c r="N198" s="101" t="n">
        <x:v>11133.310360082456</x:v>
      </x:c>
      <x:c r="O198" s="73" t="n">
        <x:v>0</x:v>
      </x:c>
    </x:row>
    <x:row r="199">
      <x:c r="A199" s="89" t="str">
        <x:v>APP-0019418</x:v>
      </x:c>
      <x:c r="B199" s="89" t="str">
        <x:v>2025-01-06</x:v>
      </x:c>
      <x:c r="C199" s="89" t="str">
        <x:v>Mobile</x:v>
      </x:c>
      <x:c r="D199" s="89" t="str">
        <x:v>Mediterranean</x:v>
      </x:c>
      <x:c r="E199" s="89" t="str">
        <x:v>Public sector</x:v>
      </x:c>
      <x:c r="F199" s="101" t="n">
        <x:v>47339.38</x:v>
      </x:c>
      <x:c r="G199" s="101" t="n">
        <x:v>35464.25</x:v>
      </x:c>
      <x:c r="H199" s="67" t="n">
        <x:v>0.34485</x:v>
      </x:c>
      <x:c r="I199" s="73" t="n">
        <x:v>710</x:v>
      </x:c>
      <x:c r="J199" s="67" t="n">
        <x:v>0.15744682814779126</x:v>
      </x:c>
      <x:c r="K199" s="73" t="n">
        <x:v>612</x:v>
      </x:c>
      <x:c r="L199" s="89" t="str">
        <x:v>E</x:v>
      </x:c>
      <x:c r="M199" s="89" t="str">
        <x:v>REFER</x:v>
      </x:c>
      <x:c r="N199" s="101" t="n">
        <x:v>2512.680153813138</x:v>
      </x:c>
      <x:c r="O199" s="73" t="n">
        <x:v>0</x:v>
      </x:c>
    </x:row>
    <x:row r="200">
      <x:c r="A200" s="89" t="str">
        <x:v>APP-0020508</x:v>
      </x:c>
      <x:c r="B200" s="89" t="str">
        <x:v>2025-01-06</x:v>
      </x:c>
      <x:c r="C200" s="89" t="str">
        <x:v>Branch</x:v>
      </x:c>
      <x:c r="D200" s="89" t="str">
        <x:v>Black Sea</x:v>
      </x:c>
      <x:c r="E200" s="89" t="str">
        <x:v>Contract</x:v>
      </x:c>
      <x:c r="F200" s="101" t="n">
        <x:v>61494.28</x:v>
      </x:c>
      <x:c r="G200" s="101" t="n">
        <x:v>17258.48</x:v>
      </x:c>
      <x:c r="H200" s="67" t="n">
        <x:v>0.25076</x:v>
      </x:c>
      <x:c r="I200" s="73" t="n">
        <x:v>636</x:v>
      </x:c>
      <x:c r="J200" s="67" t="n">
        <x:v>0.24576046833794932</x:v>
      </x:c>
      <x:c r="K200" s="73" t="n">
        <x:v>572</x:v>
      </x:c>
      <x:c r="L200" s="89" t="str">
        <x:v>F</x:v>
      </x:c>
      <x:c r="M200" s="89" t="str">
        <x:v>DECLINE_RECOMMENDATION</x:v>
      </x:c>
      <x:c r="N200" s="101" t="n">
        <x:v>1908.653457420509</x:v>
      </x:c>
      <x:c r="O200" s="73" t="n">
        <x:v>1</x:v>
      </x:c>
    </x:row>
    <x:row r="201">
      <x:c r="A201" s="89" t="str">
        <x:v>APP-0021197</x:v>
      </x:c>
      <x:c r="B201" s="89" t="str">
        <x:v>2025-01-06</x:v>
      </x:c>
      <x:c r="C201" s="89" t="str">
        <x:v>Branch</x:v>
      </x:c>
      <x:c r="D201" s="89" t="str">
        <x:v>Aegean</x:v>
      </x:c>
      <x:c r="E201" s="89" t="str">
        <x:v>Salaried</x:v>
      </x:c>
      <x:c r="F201" s="101" t="n">
        <x:v>50388.98</x:v>
      </x:c>
      <x:c r="G201" s="101" t="n">
        <x:v>82539.39</x:v>
      </x:c>
      <x:c r="H201" s="67" t="n">
        <x:v>0.31527</x:v>
      </x:c>
      <x:c r="I201" s="73" t="n">
        <x:v>647</x:v>
      </x:c>
      <x:c r="J201" s="67" t="n">
        <x:v>0.12065829292744375</x:v>
      </x:c>
      <x:c r="K201" s="73" t="n">
        <x:v>635</x:v>
      </x:c>
      <x:c r="L201" s="89" t="str">
        <x:v>D</x:v>
      </x:c>
      <x:c r="M201" s="89" t="str">
        <x:v>REFER</x:v>
      </x:c>
      <x:c r="N201" s="101" t="n">
        <x:v>4481.577853502635</x:v>
      </x:c>
      <x:c r="O201" s="73" t="n">
        <x:v>0</x:v>
      </x:c>
    </x:row>
    <x:row r="202">
      <x:c r="A202" s="89" t="str">
        <x:v>APP-0025651</x:v>
      </x:c>
      <x:c r="B202" s="89" t="str">
        <x:v>2025-01-06</x:v>
      </x:c>
      <x:c r="C202" s="89" t="str">
        <x:v>Branch</x:v>
      </x:c>
      <x:c r="D202" s="89" t="str">
        <x:v>Marmara</x:v>
      </x:c>
      <x:c r="E202" s="89" t="str">
        <x:v>Salaried</x:v>
      </x:c>
      <x:c r="F202" s="101" t="n">
        <x:v>49819.24</x:v>
      </x:c>
      <x:c r="G202" s="101" t="n">
        <x:v>29747.54</x:v>
      </x:c>
      <x:c r="H202" s="67" t="n">
        <x:v>0.47753</x:v>
      </x:c>
      <x:c r="I202" s="73" t="n">
        <x:v>735</x:v>
      </x:c>
      <x:c r="J202" s="67" t="n">
        <x:v>0.0478580706237082</x:v>
      </x:c>
      <x:c r="K202" s="73" t="n">
        <x:v>707</x:v>
      </x:c>
      <x:c r="L202" s="89" t="str">
        <x:v>B</x:v>
      </x:c>
      <x:c r="M202" s="89" t="str">
        <x:v>APPROVE_RECOMMENDATION</x:v>
      </x:c>
      <x:c r="N202" s="101" t="n">
        <x:v>640.6469415907131</x:v>
      </x:c>
      <x:c r="O202" s="73" t="n">
        <x:v>0</x:v>
      </x:c>
    </x:row>
    <x:row r="203">
      <x:c r="A203" s="89" t="str">
        <x:v>APP-0026321</x:v>
      </x:c>
      <x:c r="B203" s="89" t="str">
        <x:v>2025-01-06</x:v>
      </x:c>
      <x:c r="C203" s="89" t="str">
        <x:v>Mobile</x:v>
      </x:c>
      <x:c r="D203" s="89" t="str">
        <x:v>Central Anatolia</x:v>
      </x:c>
      <x:c r="E203" s="89" t="str">
        <x:v>Salaried</x:v>
      </x:c>
      <x:c r="F203" s="101" t="n">
        <x:v>22834.21</x:v>
      </x:c>
      <x:c r="G203" s="101" t="n">
        <x:v>29189.3</x:v>
      </x:c>
      <x:c r="H203" s="67" t="n">
        <x:v>0.54648</x:v>
      </x:c>
      <x:c r="I203" s="73" t="n">
        <x:v>696</x:v>
      </x:c>
      <x:c r="J203" s="67" t="n">
        <x:v>0.2192909042679193</x:v>
      </x:c>
      <x:c r="K203" s="73" t="n">
        <x:v>583</x:v>
      </x:c>
      <x:c r="L203" s="89" t="str">
        <x:v>E</x:v>
      </x:c>
      <x:c r="M203" s="89" t="str">
        <x:v>REFER</x:v>
      </x:c>
      <x:c r="N203" s="101" t="n">
        <x:v>2880.4265963764096</x:v>
      </x:c>
      <x:c r="O203" s="73" t="n">
        <x:v>1</x:v>
      </x:c>
    </x:row>
    <x:row r="204">
      <x:c r="A204" s="89" t="str">
        <x:v>APP-0026563</x:v>
      </x:c>
      <x:c r="B204" s="89" t="str">
        <x:v>2025-01-06</x:v>
      </x:c>
      <x:c r="C204" s="89" t="str">
        <x:v>Web</x:v>
      </x:c>
      <x:c r="D204" s="89" t="str">
        <x:v>Aegean</x:v>
      </x:c>
      <x:c r="E204" s="89" t="str">
        <x:v>Salaried</x:v>
      </x:c>
      <x:c r="F204" s="101" t="n">
        <x:v>72961.32</x:v>
      </x:c>
      <x:c r="G204" s="101" t="n">
        <x:v>19127.77</x:v>
      </x:c>
      <x:c r="H204" s="67" t="n">
        <x:v>0.12024</x:v>
      </x:c>
      <x:c r="I204" s="73" t="n">
        <x:v>707</x:v>
      </x:c>
      <x:c r="J204" s="67" t="n">
        <x:v>0.08091430848187244</x:v>
      </x:c>
      <x:c r="K204" s="73" t="n">
        <x:v>667</x:v>
      </x:c>
      <x:c r="L204" s="89" t="str">
        <x:v>C</x:v>
      </x:c>
      <x:c r="M204" s="89" t="str">
        <x:v>APPROVE_RECOMMENDATION</x:v>
      </x:c>
      <x:c r="N204" s="101" t="n">
        <x:v>696.4696270576374</x:v>
      </x:c>
      <x:c r="O204" s="73" t="n">
        <x:v>0</x:v>
      </x:c>
    </x:row>
    <x:row r="205">
      <x:c r="A205" s="89" t="str">
        <x:v>APP-0031647</x:v>
      </x:c>
      <x:c r="B205" s="89" t="str">
        <x:v>2025-01-06</x:v>
      </x:c>
      <x:c r="C205" s="89" t="str">
        <x:v>Web</x:v>
      </x:c>
      <x:c r="D205" s="89" t="str">
        <x:v>Black Sea</x:v>
      </x:c>
      <x:c r="E205" s="89" t="str">
        <x:v>Salaried</x:v>
      </x:c>
      <x:c r="F205" s="101" t="n">
        <x:v>32116.51</x:v>
      </x:c>
      <x:c r="G205" s="101" t="n">
        <x:v>10839.78</x:v>
      </x:c>
      <x:c r="H205" s="67" t="n">
        <x:v>0.16991</x:v>
      </x:c>
      <x:c r="I205" s="73" t="n">
        <x:v>646</x:v>
      </x:c>
      <x:c r="J205" s="67" t="n">
        <x:v>0.1364657601179353</x:v>
      </x:c>
      <x:c r="K205" s="73" t="n">
        <x:v>625</x:v>
      </x:c>
      <x:c r="L205" s="89" t="str">
        <x:v>D</x:v>
      </x:c>
      <x:c r="M205" s="89" t="str">
        <x:v>REFER</x:v>
      </x:c>
      <x:c r="N205" s="101" t="n">
        <x:v>665.6664677450367</x:v>
      </x:c>
      <x:c r="O205" s="73" t="n">
        <x:v>0</x:v>
      </x:c>
    </x:row>
    <x:row r="206">
      <x:c r="A206" s="89" t="str">
        <x:v>APP-0032080</x:v>
      </x:c>
      <x:c r="B206" s="89" t="str">
        <x:v>2025-01-06</x:v>
      </x:c>
      <x:c r="C206" s="89" t="str">
        <x:v>Mobile</x:v>
      </x:c>
      <x:c r="D206" s="89" t="str">
        <x:v>Mediterranean</x:v>
      </x:c>
      <x:c r="E206" s="89" t="str">
        <x:v>Salaried</x:v>
      </x:c>
      <x:c r="F206" s="101" t="n">
        <x:v>49792</x:v>
      </x:c>
      <x:c r="G206" s="101" t="n">
        <x:v>17734.83</x:v>
      </x:c>
      <x:c r="H206" s="67" t="n">
        <x:v>0.18935</x:v>
      </x:c>
      <x:c r="I206" s="73" t="n">
        <x:v>709</x:v>
      </x:c>
      <x:c r="J206" s="67" t="n">
        <x:v>0.05872158838502692</x:v>
      </x:c>
      <x:c r="K206" s="73" t="n">
        <x:v>692</x:v>
      </x:c>
      <x:c r="L206" s="89" t="str">
        <x:v>B</x:v>
      </x:c>
      <x:c r="M206" s="89" t="str">
        <x:v>APPROVE_RECOMMENDATION</x:v>
      </x:c>
      <x:c r="N206" s="101" t="n">
        <x:v>468.63782430229213</x:v>
      </x:c>
      <x:c r="O206" s="73" t="n">
        <x:v>0</x:v>
      </x:c>
    </x:row>
    <x:row r="207">
      <x:c r="A207" s="89" t="str">
        <x:v>APP-0034128</x:v>
      </x:c>
      <x:c r="B207" s="89" t="str">
        <x:v>2025-01-06</x:v>
      </x:c>
      <x:c r="C207" s="89" t="str">
        <x:v>Branch</x:v>
      </x:c>
      <x:c r="D207" s="89" t="str">
        <x:v>Aegean</x:v>
      </x:c>
      <x:c r="E207" s="89" t="str">
        <x:v>Self-employed</x:v>
      </x:c>
      <x:c r="F207" s="101" t="n">
        <x:v>55949.87</x:v>
      </x:c>
      <x:c r="G207" s="101" t="n">
        <x:v>303285.34</x:v>
      </x:c>
      <x:c r="H207" s="67" t="n">
        <x:v>0.40681</x:v>
      </x:c>
      <x:c r="I207" s="73" t="n">
        <x:v>728</x:v>
      </x:c>
      <x:c r="J207" s="67" t="n">
        <x:v>0.059939704617961394</x:v>
      </x:c>
      <x:c r="K207" s="73" t="n">
        <x:v>690</x:v>
      </x:c>
      <x:c r="L207" s="89" t="str">
        <x:v>B</x:v>
      </x:c>
      <x:c r="M207" s="89" t="str">
        <x:v>APPROVE_RECOMMENDATION</x:v>
      </x:c>
      <x:c r="N207" s="101" t="n">
        <x:v>8180.475162551097</x:v>
      </x:c>
      <x:c r="O207" s="73" t="n">
        <x:v>0</x:v>
      </x:c>
    </x:row>
    <x:row r="208">
      <x:c r="A208" s="89" t="str">
        <x:v>APP-0039837</x:v>
      </x:c>
      <x:c r="B208" s="89" t="str">
        <x:v>2025-01-06</x:v>
      </x:c>
      <x:c r="C208" s="89" t="str">
        <x:v>Branch</x:v>
      </x:c>
      <x:c r="D208" s="89" t="str">
        <x:v>Mediterranean</x:v>
      </x:c>
      <x:c r="E208" s="89" t="str">
        <x:v>Public sector</x:v>
      </x:c>
      <x:c r="F208" s="101" t="n">
        <x:v>40146.76</x:v>
      </x:c>
      <x:c r="G208" s="101" t="n">
        <x:v>10917.11</x:v>
      </x:c>
      <x:c r="H208" s="67" t="n">
        <x:v>0.47432</x:v>
      </x:c>
      <x:c r="I208" s="73" t="n">
        <x:v>678</x:v>
      </x:c>
      <x:c r="J208" s="67" t="n">
        <x:v>0.16855649132857284</x:v>
      </x:c>
      <x:c r="K208" s="73" t="n">
        <x:v>607</x:v>
      </x:c>
      <x:c r="L208" s="89" t="str">
        <x:v>E</x:v>
      </x:c>
      <x:c r="M208" s="89" t="str">
        <x:v>REFER</x:v>
      </x:c>
      <x:c r="N208" s="101" t="n">
        <x:v>828.0673906716341</x:v>
      </x:c>
      <x:c r="O208" s="73" t="n">
        <x:v>0</x:v>
      </x:c>
    </x:row>
    <x:row r="209">
      <x:c r="A209" s="89" t="str">
        <x:v>APP-0041024</x:v>
      </x:c>
      <x:c r="B209" s="89" t="str">
        <x:v>2025-01-06</x:v>
      </x:c>
      <x:c r="C209" s="89" t="str">
        <x:v>Mobile</x:v>
      </x:c>
      <x:c r="D209" s="89" t="str">
        <x:v>Central Anatolia</x:v>
      </x:c>
      <x:c r="E209" s="89" t="str">
        <x:v>Salaried</x:v>
      </x:c>
      <x:c r="F209" s="101" t="n">
        <x:v>57700.08</x:v>
      </x:c>
      <x:c r="G209" s="101" t="n">
        <x:v>40370.2</x:v>
      </x:c>
      <x:c r="H209" s="67" t="n">
        <x:v>0.36273</x:v>
      </x:c>
      <x:c r="I209" s="73" t="n">
        <x:v>739</x:v>
      </x:c>
      <x:c r="J209" s="67" t="n">
        <x:v>0.08862740916391536</x:v>
      </x:c>
      <x:c r="K209" s="73" t="n">
        <x:v>660</x:v>
      </x:c>
      <x:c r="L209" s="89" t="str">
        <x:v>C</x:v>
      </x:c>
      <x:c r="M209" s="89" t="str">
        <x:v>APPROVE_RECOMMENDATION</x:v>
      </x:c>
      <x:c r="N209" s="101" t="n">
        <x:v>1610.057805043093</x:v>
      </x:c>
      <x:c r="O209" s="73" t="n">
        <x:v>0</x:v>
      </x:c>
    </x:row>
    <x:row r="210">
      <x:c r="A210" s="89" t="str">
        <x:v>APP-0042186</x:v>
      </x:c>
      <x:c r="B210" s="89" t="str">
        <x:v>2025-01-06</x:v>
      </x:c>
      <x:c r="C210" s="89" t="str">
        <x:v>Web</x:v>
      </x:c>
      <x:c r="D210" s="89" t="str">
        <x:v>Black Sea</x:v>
      </x:c>
      <x:c r="E210" s="89" t="str">
        <x:v>Salaried</x:v>
      </x:c>
      <x:c r="F210" s="101" t="n">
        <x:v>40784.28</x:v>
      </x:c>
      <x:c r="G210" s="101" t="n">
        <x:v>27102.95</x:v>
      </x:c>
      <x:c r="H210" s="67" t="n">
        <x:v>0.11932</x:v>
      </x:c>
      <x:c r="I210" s="73" t="n">
        <x:v>642</x:v>
      </x:c>
      <x:c r="J210" s="67" t="n">
        <x:v>0.1502756544092967</x:v>
      </x:c>
      <x:c r="K210" s="73" t="n">
        <x:v>616</x:v>
      </x:c>
      <x:c r="L210" s="89" t="str">
        <x:v>E</x:v>
      </x:c>
      <x:c r="M210" s="89" t="str">
        <x:v>REFER</x:v>
      </x:c>
      <x:c r="N210" s="101" t="n">
        <x:v>1832.8110964526015</x:v>
      </x:c>
      <x:c r="O210" s="73" t="n">
        <x:v>0</x:v>
      </x:c>
    </x:row>
    <x:row r="211">
      <x:c r="A211" s="89" t="str">
        <x:v>APP-0043718</x:v>
      </x:c>
      <x:c r="B211" s="89" t="str">
        <x:v>2025-01-06</x:v>
      </x:c>
      <x:c r="C211" s="89" t="str">
        <x:v>Partner</x:v>
      </x:c>
      <x:c r="D211" s="89" t="str">
        <x:v>Mediterranean</x:v>
      </x:c>
      <x:c r="E211" s="89" t="str">
        <x:v>Retired</x:v>
      </x:c>
      <x:c r="F211" s="101" t="n">
        <x:v>19883.71</x:v>
      </x:c>
      <x:c r="G211" s="101" t="n">
        <x:v>10278.09</x:v>
      </x:c>
      <x:c r="H211" s="67" t="n">
        <x:v>0.11412</x:v>
      </x:c>
      <x:c r="I211" s="73" t="n">
        <x:v>654</x:v>
      </x:c>
      <x:c r="J211" s="67" t="n">
        <x:v>0.14937587857685156</x:v>
      </x:c>
      <x:c r="K211" s="73" t="n">
        <x:v>617</x:v>
      </x:c>
      <x:c r="L211" s="89" t="str">
        <x:v>D</x:v>
      </x:c>
      <x:c r="M211" s="89" t="str">
        <x:v>REFER</x:v>
      </x:c>
      <x:c r="N211" s="101" t="n">
        <x:v>690.8844257288786</x:v>
      </x:c>
      <x:c r="O211" s="73" t="n">
        <x:v>0</x:v>
      </x:c>
    </x:row>
    <x:row r="212">
      <x:c r="A212" s="89" t="str">
        <x:v>APP-0046924</x:v>
      </x:c>
      <x:c r="B212" s="89" t="str">
        <x:v>2025-01-06</x:v>
      </x:c>
      <x:c r="C212" s="89" t="str">
        <x:v>Partner</x:v>
      </x:c>
      <x:c r="D212" s="89" t="str">
        <x:v>Black Sea</x:v>
      </x:c>
      <x:c r="E212" s="89" t="str">
        <x:v>Salaried</x:v>
      </x:c>
      <x:c r="F212" s="101" t="n">
        <x:v>23889.23</x:v>
      </x:c>
      <x:c r="G212" s="101" t="n">
        <x:v>15813.28</x:v>
      </x:c>
      <x:c r="H212" s="67" t="n">
        <x:v>0.56865</x:v>
      </x:c>
      <x:c r="I212" s="73" t="n">
        <x:v>715</x:v>
      </x:c>
      <x:c r="J212" s="67" t="n">
        <x:v>0.19485360906215043</x:v>
      </x:c>
      <x:c r="K212" s="73" t="n">
        <x:v>594</x:v>
      </x:c>
      <x:c r="L212" s="89" t="str">
        <x:v>E</x:v>
      </x:c>
      <x:c r="M212" s="89" t="str">
        <x:v>REFER</x:v>
      </x:c>
      <x:c r="N212" s="101" t="n">
        <x:v>1386.5736055996451</x:v>
      </x:c>
      <x:c r="O212" s="73" t="n">
        <x:v>0</x:v>
      </x:c>
    </x:row>
    <x:row r="213">
      <x:c r="A213" s="89" t="str">
        <x:v>APP-0047497</x:v>
      </x:c>
      <x:c r="B213" s="89" t="str">
        <x:v>2025-01-06</x:v>
      </x:c>
      <x:c r="C213" s="89" t="str">
        <x:v>Web</x:v>
      </x:c>
      <x:c r="D213" s="89" t="str">
        <x:v>Marmara</x:v>
      </x:c>
      <x:c r="E213" s="89" t="str">
        <x:v>Salaried</x:v>
      </x:c>
      <x:c r="F213" s="101" t="n">
        <x:v>31222.19</x:v>
      </x:c>
      <x:c r="G213" s="101" t="n">
        <x:v>15344.14</x:v>
      </x:c>
      <x:c r="H213" s="67" t="n">
        <x:v>0.29101</x:v>
      </x:c>
      <x:c r="I213" s="73" t="n">
        <x:v>651</x:v>
      </x:c>
      <x:c r="J213" s="67" t="n">
        <x:v>0.21112561983922976</x:v>
      </x:c>
      <x:c r="K213" s="73" t="n">
        <x:v>587</x:v>
      </x:c>
      <x:c r="L213" s="89" t="str">
        <x:v>E</x:v>
      </x:c>
      <x:c r="M213" s="89" t="str">
        <x:v>REFER</x:v>
      </x:c>
      <x:c r="N213" s="101" t="n">
        <x:v>1457.7934807799634</x:v>
      </x:c>
      <x:c r="O213" s="73" t="n">
        <x:v>1</x:v>
      </x:c>
    </x:row>
    <x:row r="214">
      <x:c r="A214" s="89" t="str">
        <x:v>APP-0002336</x:v>
      </x:c>
      <x:c r="B214" s="89" t="str">
        <x:v>2025-01-07</x:v>
      </x:c>
      <x:c r="C214" s="89" t="str">
        <x:v>Branch</x:v>
      </x:c>
      <x:c r="D214" s="89" t="str">
        <x:v>Aegean</x:v>
      </x:c>
      <x:c r="E214" s="89" t="str">
        <x:v>Salaried</x:v>
      </x:c>
      <x:c r="F214" s="101" t="n">
        <x:v>45630.58</x:v>
      </x:c>
      <x:c r="G214" s="101" t="n">
        <x:v>61464.34</x:v>
      </x:c>
      <x:c r="H214" s="67" t="n">
        <x:v>0.137</x:v>
      </x:c>
      <x:c r="I214" s="73" t="n">
        <x:v>723</x:v>
      </x:c>
      <x:c r="J214" s="67" t="n">
        <x:v>0.028110621638488646</x:v>
      </x:c>
      <x:c r="K214" s="73" t="n">
        <x:v>747</x:v>
      </x:c>
      <x:c r="L214" s="89" t="str">
        <x:v>A</x:v>
      </x:c>
      <x:c r="M214" s="89" t="str">
        <x:v>APPROVE_RECOMMENDATION</x:v>
      </x:c>
      <x:c r="N214" s="101" t="n">
        <x:v>777.5103626997404</x:v>
      </x:c>
      <x:c r="O214" s="73" t="n">
        <x:v>0</x:v>
      </x:c>
    </x:row>
    <x:row r="215">
      <x:c r="A215" s="89" t="str">
        <x:v>APP-0003802</x:v>
      </x:c>
      <x:c r="B215" s="89" t="str">
        <x:v>2025-01-07</x:v>
      </x:c>
      <x:c r="C215" s="89" t="str">
        <x:v>Mobile</x:v>
      </x:c>
      <x:c r="D215" s="89" t="str">
        <x:v>Black Sea</x:v>
      </x:c>
      <x:c r="E215" s="89" t="str">
        <x:v>Self-employed</x:v>
      </x:c>
      <x:c r="F215" s="101" t="n">
        <x:v>38999.17</x:v>
      </x:c>
      <x:c r="G215" s="101" t="n">
        <x:v>35930.7</x:v>
      </x:c>
      <x:c r="H215" s="67" t="n">
        <x:v>0.45967</x:v>
      </x:c>
      <x:c r="I215" s="73" t="n">
        <x:v>670</x:v>
      </x:c>
      <x:c r="J215" s="67" t="n">
        <x:v>0.2231329640149947</x:v>
      </x:c>
      <x:c r="K215" s="73" t="n">
        <x:v>581</x:v>
      </x:c>
      <x:c r="L215" s="89" t="str">
        <x:v>F</x:v>
      </x:c>
      <x:c r="M215" s="89" t="str">
        <x:v>DECLINE_RECOMMENDATION</x:v>
      </x:c>
      <x:c r="N215" s="101" t="n">
        <x:v>3607.7956155601064</x:v>
      </x:c>
      <x:c r="O215" s="73" t="n">
        <x:v>0</x:v>
      </x:c>
    </x:row>
    <x:row r="216">
      <x:c r="A216" s="89" t="str">
        <x:v>APP-0006896</x:v>
      </x:c>
      <x:c r="B216" s="89" t="str">
        <x:v>2025-01-07</x:v>
      </x:c>
      <x:c r="C216" s="89" t="str">
        <x:v>Branch</x:v>
      </x:c>
      <x:c r="D216" s="89" t="str">
        <x:v>Marmara</x:v>
      </x:c>
      <x:c r="E216" s="89" t="str">
        <x:v>Salaried</x:v>
      </x:c>
      <x:c r="F216" s="101" t="n">
        <x:v>45979.04</x:v>
      </x:c>
      <x:c r="G216" s="101" t="n">
        <x:v>35046.57</x:v>
      </x:c>
      <x:c r="H216" s="67" t="n">
        <x:v>0.17036</x:v>
      </x:c>
      <x:c r="I216" s="73" t="n">
        <x:v>683</x:v>
      </x:c>
      <x:c r="J216" s="67" t="n">
        <x:v>0.1199469456111802</x:v>
      </x:c>
      <x:c r="K216" s="73" t="n">
        <x:v>635</x:v>
      </x:c>
      <x:c r="L216" s="89" t="str">
        <x:v>D</x:v>
      </x:c>
      <x:c r="M216" s="89" t="str">
        <x:v>REFER</x:v>
      </x:c>
      <x:c r="N216" s="101" t="n">
        <x:v>1891.678061541789</x:v>
      </x:c>
      <x:c r="O216" s="73" t="n">
        <x:v>1</x:v>
      </x:c>
    </x:row>
    <x:row r="217">
      <x:c r="A217" s="89" t="str">
        <x:v>APP-0013453</x:v>
      </x:c>
      <x:c r="B217" s="89" t="str">
        <x:v>2025-01-07</x:v>
      </x:c>
      <x:c r="C217" s="89" t="str">
        <x:v>Mobile</x:v>
      </x:c>
      <x:c r="D217" s="89" t="str">
        <x:v>Marmara</x:v>
      </x:c>
      <x:c r="E217" s="89" t="str">
        <x:v>Salaried</x:v>
      </x:c>
      <x:c r="F217" s="101" t="n">
        <x:v>44751.57</x:v>
      </x:c>
      <x:c r="G217" s="101" t="n">
        <x:v>49221.92</x:v>
      </x:c>
      <x:c r="H217" s="67" t="n">
        <x:v>0.34226</x:v>
      </x:c>
      <x:c r="I217" s="73" t="n">
        <x:v>705</x:v>
      </x:c>
      <x:c r="J217" s="67" t="n">
        <x:v>0.09033249502897633</x:v>
      </x:c>
      <x:c r="K217" s="73" t="n">
        <x:v>658</x:v>
      </x:c>
      <x:c r="L217" s="89" t="str">
        <x:v>C</x:v>
      </x:c>
      <x:c r="M217" s="89" t="str">
        <x:v>APPROVE_RECOMMENDATION</x:v>
      </x:c>
      <x:c r="N217" s="101" t="n">
        <x:v>2000.8524796725019</x:v>
      </x:c>
      <x:c r="O217" s="73" t="n">
        <x:v>0</x:v>
      </x:c>
    </x:row>
    <x:row r="218">
      <x:c r="A218" s="89" t="str">
        <x:v>APP-0013627</x:v>
      </x:c>
      <x:c r="B218" s="89" t="str">
        <x:v>2025-01-07</x:v>
      </x:c>
      <x:c r="C218" s="89" t="str">
        <x:v>Mobile</x:v>
      </x:c>
      <x:c r="D218" s="89" t="str">
        <x:v>Aegean</x:v>
      </x:c>
      <x:c r="E218" s="89" t="str">
        <x:v>Public sector</x:v>
      </x:c>
      <x:c r="F218" s="101" t="n">
        <x:v>23809.58</x:v>
      </x:c>
      <x:c r="G218" s="101" t="n">
        <x:v>35324</x:v>
      </x:c>
      <x:c r="H218" s="67" t="n">
        <x:v>0.24867</x:v>
      </x:c>
      <x:c r="I218" s="73" t="n">
        <x:v>650</x:v>
      </x:c>
      <x:c r="J218" s="67" t="n">
        <x:v>0.1985969964704829</x:v>
      </x:c>
      <x:c r="K218" s="73" t="n">
        <x:v>592</x:v>
      </x:c>
      <x:c r="L218" s="89" t="str">
        <x:v>E</x:v>
      </x:c>
      <x:c r="M218" s="89" t="str">
        <x:v>REFER</x:v>
      </x:c>
      <x:c r="N218" s="101" t="n">
        <x:v>3156.858136495502</x:v>
      </x:c>
      <x:c r="O218" s="73" t="n">
        <x:v>1</x:v>
      </x:c>
    </x:row>
    <x:row r="219">
      <x:c r="A219" s="89" t="str">
        <x:v>APP-0014068</x:v>
      </x:c>
      <x:c r="B219" s="89" t="str">
        <x:v>2025-01-07</x:v>
      </x:c>
      <x:c r="C219" s="89" t="str">
        <x:v>Mobile</x:v>
      </x:c>
      <x:c r="D219" s="89" t="str">
        <x:v>Marmara</x:v>
      </x:c>
      <x:c r="E219" s="89" t="str">
        <x:v>Self-employed</x:v>
      </x:c>
      <x:c r="F219" s="101" t="n">
        <x:v>82691.43</x:v>
      </x:c>
      <x:c r="G219" s="101" t="n">
        <x:v>29077.39</x:v>
      </x:c>
      <x:c r="H219" s="67" t="n">
        <x:v>0.26371</x:v>
      </x:c>
      <x:c r="I219" s="73" t="n">
        <x:v>680</x:v>
      </x:c>
      <x:c r="J219" s="67" t="n">
        <x:v>0.1475751313148128</x:v>
      </x:c>
      <x:c r="K219" s="73" t="n">
        <x:v>618</x:v>
      </x:c>
      <x:c r="L219" s="89" t="str">
        <x:v>D</x:v>
      </x:c>
      <x:c r="M219" s="89" t="str">
        <x:v>REFER</x:v>
      </x:c>
      <x:c r="N219" s="101" t="n">
        <x:v>1930.9948413939114</x:v>
      </x:c>
      <x:c r="O219" s="73" t="n">
        <x:v>0</x:v>
      </x:c>
    </x:row>
    <x:row r="220">
      <x:c r="A220" s="89" t="str">
        <x:v>APP-0016268</x:v>
      </x:c>
      <x:c r="B220" s="89" t="str">
        <x:v>2025-01-07</x:v>
      </x:c>
      <x:c r="C220" s="89" t="str">
        <x:v>Mobile</x:v>
      </x:c>
      <x:c r="D220" s="89" t="str">
        <x:v>Aegean</x:v>
      </x:c>
      <x:c r="E220" s="89" t="str">
        <x:v>Salaried</x:v>
      </x:c>
      <x:c r="F220" s="101" t="n">
        <x:v>31746.02</x:v>
      </x:c>
      <x:c r="G220" s="101" t="n">
        <x:v>13865.73</x:v>
      </x:c>
      <x:c r="H220" s="67" t="n">
        <x:v>0.15353</x:v>
      </x:c>
      <x:c r="I220" s="73" t="n">
        <x:v>771</x:v>
      </x:c>
      <x:c r="J220" s="67" t="n">
        <x:v>0.04235314012314205</x:v>
      </x:c>
      <x:c r="K220" s="73" t="n">
        <x:v>716</x:v>
      </x:c>
      <x:c r="L220" s="89" t="str">
        <x:v>B</x:v>
      </x:c>
      <x:c r="M220" s="89" t="str">
        <x:v>APPROVE_RECOMMENDATION</x:v>
      </x:c>
      <x:c r="N220" s="101" t="n">
        <x:v>264.2657425198445</x:v>
      </x:c>
      <x:c r="O220" s="73" t="n">
        <x:v>0</x:v>
      </x:c>
    </x:row>
    <x:row r="221">
      <x:c r="A221" s="89" t="str">
        <x:v>APP-0016842</x:v>
      </x:c>
      <x:c r="B221" s="89" t="str">
        <x:v>2025-01-07</x:v>
      </x:c>
      <x:c r="C221" s="89" t="str">
        <x:v>Web</x:v>
      </x:c>
      <x:c r="D221" s="89" t="str">
        <x:v>Central Anatolia</x:v>
      </x:c>
      <x:c r="E221" s="89" t="str">
        <x:v>Public sector</x:v>
      </x:c>
      <x:c r="F221" s="101" t="n">
        <x:v>57632.49</x:v>
      </x:c>
      <x:c r="G221" s="101" t="n">
        <x:v>108500.64</x:v>
      </x:c>
      <x:c r="H221" s="67" t="n">
        <x:v>0.14536</x:v>
      </x:c>
      <x:c r="I221" s="73" t="n">
        <x:v>680</x:v>
      </x:c>
      <x:c r="J221" s="67" t="n">
        <x:v>0.13341324123685183</x:v>
      </x:c>
      <x:c r="K221" s="73" t="n">
        <x:v>626</x:v>
      </x:c>
      <x:c r="L221" s="89" t="str">
        <x:v>D</x:v>
      </x:c>
      <x:c r="M221" s="89" t="str">
        <x:v>REFER</x:v>
      </x:c>
      <x:c r="N221" s="101" t="n">
        <x:v>6513.939926402767</x:v>
      </x:c>
      <x:c r="O221" s="73" t="n">
        <x:v>0</x:v>
      </x:c>
    </x:row>
    <x:row r="222">
      <x:c r="A222" s="89" t="str">
        <x:v>APP-0018104</x:v>
      </x:c>
      <x:c r="B222" s="89" t="str">
        <x:v>2025-01-07</x:v>
      </x:c>
      <x:c r="C222" s="89" t="str">
        <x:v>Branch</x:v>
      </x:c>
      <x:c r="D222" s="89" t="str">
        <x:v>Central Anatolia</x:v>
      </x:c>
      <x:c r="E222" s="89" t="str">
        <x:v>Salaried</x:v>
      </x:c>
      <x:c r="F222" s="101" t="n">
        <x:v>37940.56</x:v>
      </x:c>
      <x:c r="G222" s="101" t="n">
        <x:v>22714</x:v>
      </x:c>
      <x:c r="H222" s="67" t="n">
        <x:v>0.27505</x:v>
      </x:c>
      <x:c r="I222" s="73" t="n">
        <x:v>709</x:v>
      </x:c>
      <x:c r="J222" s="67" t="n">
        <x:v>0.07762068286718168</x:v>
      </x:c>
      <x:c r="K222" s="73" t="n">
        <x:v>670</x:v>
      </x:c>
      <x:c r="L222" s="89" t="str">
        <x:v>C</x:v>
      </x:c>
      <x:c r="M222" s="89" t="str">
        <x:v>APPROVE_RECOMMENDATION</x:v>
      </x:c>
      <x:c r="N222" s="101" t="n">
        <x:v>793.3842857903243</x:v>
      </x:c>
      <x:c r="O222" s="73" t="n">
        <x:v>0</x:v>
      </x:c>
    </x:row>
    <x:row r="223">
      <x:c r="A223" s="89" t="str">
        <x:v>APP-0019269</x:v>
      </x:c>
      <x:c r="B223" s="89" t="str">
        <x:v>2025-01-07</x:v>
      </x:c>
      <x:c r="C223" s="89" t="str">
        <x:v>Branch</x:v>
      </x:c>
      <x:c r="D223" s="89" t="str">
        <x:v>Black Sea</x:v>
      </x:c>
      <x:c r="E223" s="89" t="str">
        <x:v>Salaried</x:v>
      </x:c>
      <x:c r="F223" s="101" t="n">
        <x:v>19410.5</x:v>
      </x:c>
      <x:c r="G223" s="101" t="n">
        <x:v>31883.26</x:v>
      </x:c>
      <x:c r="H223" s="67" t="n">
        <x:v>0.16705</x:v>
      </x:c>
      <x:c r="I223" s="73" t="n">
        <x:v>717</x:v>
      </x:c>
      <x:c r="J223" s="67" t="n">
        <x:v>0.09090937116004207</x:v>
      </x:c>
      <x:c r="K223" s="73" t="n">
        <x:v>658</x:v>
      </x:c>
      <x:c r="L223" s="89" t="str">
        <x:v>C</x:v>
      </x:c>
      <x:c r="M223" s="89" t="str">
        <x:v>APPROVE_RECOMMENDATION</x:v>
      </x:c>
      <x:c r="N223" s="101" t="n">
        <x:v>1304.3192027094553</x:v>
      </x:c>
      <x:c r="O223" s="73" t="n">
        <x:v>1</x:v>
      </x:c>
    </x:row>
    <x:row r="224">
      <x:c r="A224" s="89" t="str">
        <x:v>APP-0019671</x:v>
      </x:c>
      <x:c r="B224" s="89" t="str">
        <x:v>2025-01-07</x:v>
      </x:c>
      <x:c r="C224" s="89" t="str">
        <x:v>Mobile</x:v>
      </x:c>
      <x:c r="D224" s="89" t="str">
        <x:v>Marmara</x:v>
      </x:c>
      <x:c r="E224" s="89" t="str">
        <x:v>Self-employed</x:v>
      </x:c>
      <x:c r="F224" s="101" t="n">
        <x:v>51386.33</x:v>
      </x:c>
      <x:c r="G224" s="101" t="n">
        <x:v>112031.12</x:v>
      </x:c>
      <x:c r="H224" s="67" t="n">
        <x:v>0.25872</x:v>
      </x:c>
      <x:c r="I224" s="73" t="n">
        <x:v>655</x:v>
      </x:c>
      <x:c r="J224" s="67" t="n">
        <x:v>0.18714467157253253</x:v>
      </x:c>
      <x:c r="K224" s="73" t="n">
        <x:v>597</x:v>
      </x:c>
      <x:c r="L224" s="89" t="str">
        <x:v>E</x:v>
      </x:c>
      <x:c r="M224" s="89" t="str">
        <x:v>REFER</x:v>
      </x:c>
      <x:c r="N224" s="101" t="n">
        <x:v>9434.712221236341</x:v>
      </x:c>
      <x:c r="O224" s="73" t="n">
        <x:v>0</x:v>
      </x:c>
    </x:row>
    <x:row r="225">
      <x:c r="A225" s="89" t="str">
        <x:v>APP-0021521</x:v>
      </x:c>
      <x:c r="B225" s="89" t="str">
        <x:v>2025-01-07</x:v>
      </x:c>
      <x:c r="C225" s="89" t="str">
        <x:v>Mobile</x:v>
      </x:c>
      <x:c r="D225" s="89" t="str">
        <x:v>Marmara</x:v>
      </x:c>
      <x:c r="E225" s="89" t="str">
        <x:v>Salaried</x:v>
      </x:c>
      <x:c r="F225" s="101" t="n">
        <x:v>47397.07</x:v>
      </x:c>
      <x:c r="G225" s="101" t="n">
        <x:v>65317.82</x:v>
      </x:c>
      <x:c r="H225" s="67" t="n">
        <x:v>0.3255</x:v>
      </x:c>
      <x:c r="I225" s="73" t="n">
        <x:v>720</x:v>
      </x:c>
      <x:c r="J225" s="67" t="n">
        <x:v>0.05225733590293257</x:v>
      </x:c>
      <x:c r="K225" s="73" t="n">
        <x:v>701</x:v>
      </x:c>
      <x:c r="L225" s="89" t="str">
        <x:v>B</x:v>
      </x:c>
      <x:c r="M225" s="89" t="str">
        <x:v>APPROVE_RECOMMENDATION</x:v>
      </x:c>
      <x:c r="N225" s="101" t="n">
        <x:v>1536.0008670842792</x:v>
      </x:c>
      <x:c r="O225" s="73" t="n">
        <x:v>0</x:v>
      </x:c>
    </x:row>
    <x:row r="226">
      <x:c r="A226" s="89" t="str">
        <x:v>APP-0023946</x:v>
      </x:c>
      <x:c r="B226" s="89" t="str">
        <x:v>2025-01-07</x:v>
      </x:c>
      <x:c r="C226" s="89" t="str">
        <x:v>Web</x:v>
      </x:c>
      <x:c r="D226" s="89" t="str">
        <x:v>Marmara</x:v>
      </x:c>
      <x:c r="E226" s="89" t="str">
        <x:v>Public sector</x:v>
      </x:c>
      <x:c r="F226" s="101" t="n">
        <x:v>53565.25</x:v>
      </x:c>
      <x:c r="G226" s="101" t="n">
        <x:v>87344.57</x:v>
      </x:c>
      <x:c r="H226" s="67" t="n">
        <x:v>0.23611</x:v>
      </x:c>
      <x:c r="I226" s="73" t="n">
        <x:v>667</x:v>
      </x:c>
      <x:c r="J226" s="67" t="n">
        <x:v>0.12277551815227027</x:v>
      </x:c>
      <x:c r="K226" s="73" t="n">
        <x:v>633</x:v>
      </x:c>
      <x:c r="L226" s="89" t="str">
        <x:v>D</x:v>
      </x:c>
      <x:c r="M226" s="89" t="str">
        <x:v>REFER</x:v>
      </x:c>
      <x:c r="N226" s="101" t="n">
        <x:v>4825.698677791759</x:v>
      </x:c>
      <x:c r="O226" s="73" t="n">
        <x:v>0</x:v>
      </x:c>
    </x:row>
    <x:row r="227">
      <x:c r="A227" s="89" t="str">
        <x:v>APP-0024166</x:v>
      </x:c>
      <x:c r="B227" s="89" t="str">
        <x:v>2025-01-07</x:v>
      </x:c>
      <x:c r="C227" s="89" t="str">
        <x:v>Web</x:v>
      </x:c>
      <x:c r="D227" s="89" t="str">
        <x:v>Marmara</x:v>
      </x:c>
      <x:c r="E227" s="89" t="str">
        <x:v>Salaried</x:v>
      </x:c>
      <x:c r="F227" s="101" t="n">
        <x:v>70162.05</x:v>
      </x:c>
      <x:c r="G227" s="101" t="n">
        <x:v>16892.63</x:v>
      </x:c>
      <x:c r="H227" s="67" t="n">
        <x:v>0.28153</x:v>
      </x:c>
      <x:c r="I227" s="73" t="n">
        <x:v>692</x:v>
      </x:c>
      <x:c r="J227" s="67" t="n">
        <x:v>0.1849569250327839</x:v>
      </x:c>
      <x:c r="K227" s="73" t="n">
        <x:v>598</x:v>
      </x:c>
      <x:c r="L227" s="89" t="str">
        <x:v>E</x:v>
      </x:c>
      <x:c r="M227" s="89" t="str">
        <x:v>REFER</x:v>
      </x:c>
      <x:c r="N227" s="101" t="n">
        <x:v>1405.9840052324505</x:v>
      </x:c>
      <x:c r="O227" s="73" t="n">
        <x:v>0</x:v>
      </x:c>
    </x:row>
    <x:row r="228">
      <x:c r="A228" s="89" t="str">
        <x:v>APP-0025283</x:v>
      </x:c>
      <x:c r="B228" s="89" t="str">
        <x:v>2025-01-07</x:v>
      </x:c>
      <x:c r="C228" s="89" t="str">
        <x:v>Web</x:v>
      </x:c>
      <x:c r="D228" s="89" t="str">
        <x:v>Aegean</x:v>
      </x:c>
      <x:c r="E228" s="89" t="str">
        <x:v>Salaried</x:v>
      </x:c>
      <x:c r="F228" s="101" t="n">
        <x:v>20285.8</x:v>
      </x:c>
      <x:c r="G228" s="101" t="n">
        <x:v>11159.93</x:v>
      </x:c>
      <x:c r="H228" s="67" t="n">
        <x:v>0.23967</x:v>
      </x:c>
      <x:c r="I228" s="73" t="n">
        <x:v>741</x:v>
      </x:c>
      <x:c r="J228" s="67" t="n">
        <x:v>0.03464791530755514</x:v>
      </x:c>
      <x:c r="K228" s="73" t="n">
        <x:v>732</x:v>
      </x:c>
      <x:c r="L228" s="89" t="str">
        <x:v>B</x:v>
      </x:c>
      <x:c r="M228" s="89" t="str">
        <x:v>APPROVE_RECOMMENDATION</x:v>
      </x:c>
      <x:c r="N228" s="101" t="n">
        <x:v>174.00073926520975</x:v>
      </x:c>
      <x:c r="O228" s="73" t="n">
        <x:v>0</x:v>
      </x:c>
    </x:row>
    <x:row r="229">
      <x:c r="A229" s="89" t="str">
        <x:v>APP-0029006</x:v>
      </x:c>
      <x:c r="B229" s="89" t="str">
        <x:v>2025-01-07</x:v>
      </x:c>
      <x:c r="C229" s="89" t="str">
        <x:v>Branch</x:v>
      </x:c>
      <x:c r="D229" s="89" t="str">
        <x:v>Central Anatolia</x:v>
      </x:c>
      <x:c r="E229" s="89" t="str">
        <x:v>Salaried</x:v>
      </x:c>
      <x:c r="F229" s="101" t="n">
        <x:v>37145.18</x:v>
      </x:c>
      <x:c r="G229" s="101" t="n">
        <x:v>17192.84</x:v>
      </x:c>
      <x:c r="H229" s="67" t="n">
        <x:v>0.24424</x:v>
      </x:c>
      <x:c r="I229" s="73" t="n">
        <x:v>647</x:v>
      </x:c>
      <x:c r="J229" s="67" t="n">
        <x:v>0.1605225643309586</x:v>
      </x:c>
      <x:c r="K229" s="73" t="n">
        <x:v>611</x:v>
      </x:c>
      <x:c r="L229" s="89" t="str">
        <x:v>E</x:v>
      </x:c>
      <x:c r="M229" s="89" t="str">
        <x:v>REFER</x:v>
      </x:c>
      <x:c r="N229" s="101" t="n">
        <x:v>1241.9274442193453</x:v>
      </x:c>
      <x:c r="O229" s="73" t="n">
        <x:v>0</x:v>
      </x:c>
    </x:row>
    <x:row r="230">
      <x:c r="A230" s="89" t="str">
        <x:v>APP-0029353</x:v>
      </x:c>
      <x:c r="B230" s="89" t="str">
        <x:v>2025-01-07</x:v>
      </x:c>
      <x:c r="C230" s="89" t="str">
        <x:v>Partner</x:v>
      </x:c>
      <x:c r="D230" s="89" t="str">
        <x:v>Marmara</x:v>
      </x:c>
      <x:c r="E230" s="89" t="str">
        <x:v>Public sector</x:v>
      </x:c>
      <x:c r="F230" s="101" t="n">
        <x:v>36895.45</x:v>
      </x:c>
      <x:c r="G230" s="101" t="n">
        <x:v>15326.94</x:v>
      </x:c>
      <x:c r="H230" s="67" t="n">
        <x:v>0.1886</x:v>
      </x:c>
      <x:c r="I230" s="73" t="n">
        <x:v>653</x:v>
      </x:c>
      <x:c r="J230" s="67" t="n">
        <x:v>0.1703717583563995</x:v>
      </x:c>
      <x:c r="K230" s="73" t="n">
        <x:v>606</x:v>
      </x:c>
      <x:c r="L230" s="89" t="str">
        <x:v>E</x:v>
      </x:c>
      <x:c r="M230" s="89" t="str">
        <x:v>REFER</x:v>
      </x:c>
      <x:c r="N230" s="101" t="n">
        <x:v>1175.0749731103654</x:v>
      </x:c>
      <x:c r="O230" s="73" t="n">
        <x:v>0</x:v>
      </x:c>
    </x:row>
    <x:row r="231">
      <x:c r="A231" s="89" t="str">
        <x:v>APP-0040109</x:v>
      </x:c>
      <x:c r="B231" s="89" t="str">
        <x:v>2025-01-07</x:v>
      </x:c>
      <x:c r="C231" s="89" t="str">
        <x:v>Mobile</x:v>
      </x:c>
      <x:c r="D231" s="89" t="str">
        <x:v>Central Anatolia</x:v>
      </x:c>
      <x:c r="E231" s="89" t="str">
        <x:v>Salaried</x:v>
      </x:c>
      <x:c r="F231" s="101" t="n">
        <x:v>42189.2</x:v>
      </x:c>
      <x:c r="G231" s="101" t="n">
        <x:v>73772.55</x:v>
      </x:c>
      <x:c r="H231" s="67" t="n">
        <x:v>0.55507</x:v>
      </x:c>
      <x:c r="I231" s="73" t="n">
        <x:v>699</x:v>
      </x:c>
      <x:c r="J231" s="67" t="n">
        <x:v>0.14176122281084683</x:v>
      </x:c>
      <x:c r="K231" s="73" t="n">
        <x:v>621</x:v>
      </x:c>
      <x:c r="L231" s="89" t="str">
        <x:v>D</x:v>
      </x:c>
      <x:c r="M231" s="89" t="str">
        <x:v>REFER</x:v>
      </x:c>
      <x:c r="N231" s="101" t="n">
        <x:v>4706.139104043453</x:v>
      </x:c>
      <x:c r="O231" s="73" t="n">
        <x:v>0</x:v>
      </x:c>
    </x:row>
    <x:row r="232">
      <x:c r="A232" s="89" t="str">
        <x:v>APP-0041464</x:v>
      </x:c>
      <x:c r="B232" s="89" t="str">
        <x:v>2025-01-07</x:v>
      </x:c>
      <x:c r="C232" s="89" t="str">
        <x:v>Partner</x:v>
      </x:c>
      <x:c r="D232" s="89" t="str">
        <x:v>Marmara</x:v>
      </x:c>
      <x:c r="E232" s="89" t="str">
        <x:v>Public sector</x:v>
      </x:c>
      <x:c r="F232" s="101" t="n">
        <x:v>100631.87</x:v>
      </x:c>
      <x:c r="G232" s="101" t="n">
        <x:v>264954.98</x:v>
      </x:c>
      <x:c r="H232" s="67" t="n">
        <x:v>0.4961</x:v>
      </x:c>
      <x:c r="I232" s="73" t="n">
        <x:v>670</x:v>
      </x:c>
      <x:c r="J232" s="67" t="n">
        <x:v>0.23600509985361984</x:v>
      </x:c>
      <x:c r="K232" s="73" t="n">
        <x:v>576</x:v>
      </x:c>
      <x:c r="L232" s="89" t="str">
        <x:v>F</x:v>
      </x:c>
      <x:c r="M232" s="89" t="str">
        <x:v>DECLINE_RECOMMENDATION</x:v>
      </x:c>
      <x:c r="N232" s="101" t="n">
        <x:v>28138.82693022623</x:v>
      </x:c>
      <x:c r="O232" s="73" t="n">
        <x:v>0</x:v>
      </x:c>
    </x:row>
    <x:row r="233">
      <x:c r="A233" s="89" t="str">
        <x:v>APP-0041974</x:v>
      </x:c>
      <x:c r="B233" s="89" t="str">
        <x:v>2025-01-07</x:v>
      </x:c>
      <x:c r="C233" s="89" t="str">
        <x:v>Partner</x:v>
      </x:c>
      <x:c r="D233" s="89" t="str">
        <x:v>Marmara</x:v>
      </x:c>
      <x:c r="E233" s="89" t="str">
        <x:v>Salaried</x:v>
      </x:c>
      <x:c r="F233" s="101" t="n">
        <x:v>49668.29</x:v>
      </x:c>
      <x:c r="G233" s="101" t="n">
        <x:v>62466.42</x:v>
      </x:c>
      <x:c r="H233" s="67" t="n">
        <x:v>0.51034</x:v>
      </x:c>
      <x:c r="I233" s="73" t="n">
        <x:v>699</x:v>
      </x:c>
      <x:c r="J233" s="67" t="n">
        <x:v>0.1490013977844904</x:v>
      </x:c>
      <x:c r="K233" s="73" t="n">
        <x:v>617</x:v>
      </x:c>
      <x:c r="L233" s="89" t="str">
        <x:v>D</x:v>
      </x:c>
      <x:c r="M233" s="89" t="str">
        <x:v>REFER</x:v>
      </x:c>
      <x:c r="N233" s="101" t="n">
        <x:v>4188.412752566871</x:v>
      </x:c>
      <x:c r="O233" s="73" t="n">
        <x:v>0</x:v>
      </x:c>
    </x:row>
    <x:row r="234">
      <x:c r="A234" s="89" t="str">
        <x:v>APP-0044072</x:v>
      </x:c>
      <x:c r="B234" s="89" t="str">
        <x:v>2025-01-07</x:v>
      </x:c>
      <x:c r="C234" s="89" t="str">
        <x:v>Branch</x:v>
      </x:c>
      <x:c r="D234" s="89" t="str">
        <x:v>Marmara</x:v>
      </x:c>
      <x:c r="E234" s="89" t="str">
        <x:v>Self-employed</x:v>
      </x:c>
      <x:c r="F234" s="101" t="n">
        <x:v>59218.49</x:v>
      </x:c>
      <x:c r="G234" s="101" t="n">
        <x:v>23820.06</x:v>
      </x:c>
      <x:c r="H234" s="67" t="n">
        <x:v>0.27946</x:v>
      </x:c>
      <x:c r="I234" s="73" t="n">
        <x:v>760</x:v>
      </x:c>
      <x:c r="J234" s="67" t="n">
        <x:v>0.053071958762033376</x:v>
      </x:c>
      <x:c r="K234" s="73" t="n">
        <x:v>699</x:v>
      </x:c>
      <x:c r="L234" s="89" t="str">
        <x:v>B</x:v>
      </x:c>
      <x:c r="M234" s="89" t="str">
        <x:v>APPROVE_RECOMMENDATION</x:v>
      </x:c>
      <x:c r="N234" s="101" t="n">
        <x:v>568.8797589131224</x:v>
      </x:c>
      <x:c r="O234" s="73" t="n">
        <x:v>0</x:v>
      </x:c>
    </x:row>
    <x:row r="235">
      <x:c r="A235" s="89" t="str">
        <x:v>APP-0044667</x:v>
      </x:c>
      <x:c r="B235" s="89" t="str">
        <x:v>2025-01-07</x:v>
      </x:c>
      <x:c r="C235" s="89" t="str">
        <x:v>Branch</x:v>
      </x:c>
      <x:c r="D235" s="89" t="str">
        <x:v>Black Sea</x:v>
      </x:c>
      <x:c r="E235" s="89" t="str">
        <x:v>Contract</x:v>
      </x:c>
      <x:c r="F235" s="101" t="n">
        <x:v>55228.59</x:v>
      </x:c>
      <x:c r="G235" s="101" t="n">
        <x:v>50665.21</x:v>
      </x:c>
      <x:c r="H235" s="67" t="n">
        <x:v>0.34655</x:v>
      </x:c>
      <x:c r="I235" s="73" t="n">
        <x:v>757</x:v>
      </x:c>
      <x:c r="J235" s="67" t="n">
        <x:v>0.02091686251427935</x:v>
      </x:c>
      <x:c r="K235" s="73" t="n">
        <x:v>769</x:v>
      </x:c>
      <x:c r="L235" s="89" t="str">
        <x:v>A</x:v>
      </x:c>
      <x:c r="M235" s="89" t="str">
        <x:v>APPROVE_RECOMMENDATION</x:v>
      </x:c>
      <x:c r="N235" s="101" t="n">
        <x:v>476.8907543221911</x:v>
      </x:c>
      <x:c r="O235" s="73" t="n">
        <x:v>0</x:v>
      </x:c>
    </x:row>
    <x:row r="236">
      <x:c r="A236" s="89" t="str">
        <x:v>APP-0044736</x:v>
      </x:c>
      <x:c r="B236" s="89" t="str">
        <x:v>2025-01-07</x:v>
      </x:c>
      <x:c r="C236" s="89" t="str">
        <x:v>Branch</x:v>
      </x:c>
      <x:c r="D236" s="89" t="str">
        <x:v>Mediterranean</x:v>
      </x:c>
      <x:c r="E236" s="89" t="str">
        <x:v>Salaried</x:v>
      </x:c>
      <x:c r="F236" s="101" t="n">
        <x:v>52149.56</x:v>
      </x:c>
      <x:c r="G236" s="101" t="n">
        <x:v>25092.69</x:v>
      </x:c>
      <x:c r="H236" s="67" t="n">
        <x:v>0.17244</x:v>
      </x:c>
      <x:c r="I236" s="73" t="n">
        <x:v>672</x:v>
      </x:c>
      <x:c r="J236" s="67" t="n">
        <x:v>0.1008642913125211</x:v>
      </x:c>
      <x:c r="K236" s="73" t="n">
        <x:v>649</x:v>
      </x:c>
      <x:c r="L236" s="89" t="str">
        <x:v>D</x:v>
      </x:c>
      <x:c r="M236" s="89" t="str">
        <x:v>REFER</x:v>
      </x:c>
      <x:c r="N236" s="101" t="n">
        <x:v>1138.9303772886533</x:v>
      </x:c>
      <x:c r="O236" s="73" t="n">
        <x:v>0</x:v>
      </x:c>
    </x:row>
    <x:row r="237">
      <x:c r="A237" s="89" t="str">
        <x:v>APP-0046858</x:v>
      </x:c>
      <x:c r="B237" s="89" t="str">
        <x:v>2025-01-07</x:v>
      </x:c>
      <x:c r="C237" s="89" t="str">
        <x:v>Branch</x:v>
      </x:c>
      <x:c r="D237" s="89" t="str">
        <x:v>Aegean</x:v>
      </x:c>
      <x:c r="E237" s="89" t="str">
        <x:v>Self-employed</x:v>
      </x:c>
      <x:c r="F237" s="101" t="n">
        <x:v>27017.48</x:v>
      </x:c>
      <x:c r="G237" s="101" t="n">
        <x:v>173761.28</x:v>
      </x:c>
      <x:c r="H237" s="67" t="n">
        <x:v>0.53384</x:v>
      </x:c>
      <x:c r="I237" s="73" t="n">
        <x:v>723</x:v>
      </x:c>
      <x:c r="J237" s="67" t="n">
        <x:v>0.09269834593581361</x:v>
      </x:c>
      <x:c r="K237" s="73" t="n">
        <x:v>656</x:v>
      </x:c>
      <x:c r="L237" s="89" t="str">
        <x:v>C</x:v>
      </x:c>
      <x:c r="M237" s="89" t="str">
        <x:v>APPROVE_RECOMMENDATION</x:v>
      </x:c>
      <x:c r="N237" s="101" t="n">
        <x:v>7248.322459660397</x:v>
      </x:c>
      <x:c r="O237" s="73" t="n">
        <x:v>0</x:v>
      </x:c>
    </x:row>
    <x:row r="238">
      <x:c r="A238" s="89" t="str">
        <x:v>APP-0004707</x:v>
      </x:c>
      <x:c r="B238" s="89" t="str">
        <x:v>2025-01-08</x:v>
      </x:c>
      <x:c r="C238" s="89" t="str">
        <x:v>Web</x:v>
      </x:c>
      <x:c r="D238" s="89" t="str">
        <x:v>Marmara</x:v>
      </x:c>
      <x:c r="E238" s="89" t="str">
        <x:v>Self-employed</x:v>
      </x:c>
      <x:c r="F238" s="101" t="n">
        <x:v>31884.51</x:v>
      </x:c>
      <x:c r="G238" s="101" t="n">
        <x:v>95067.94</x:v>
      </x:c>
      <x:c r="H238" s="67" t="n">
        <x:v>0.28139</x:v>
      </x:c>
      <x:c r="I238" s="73" t="n">
        <x:v>643</x:v>
      </x:c>
      <x:c r="J238" s="67" t="n">
        <x:v>0.2255112488179831</x:v>
      </x:c>
      <x:c r="K238" s="73" t="n">
        <x:v>581</x:v>
      </x:c>
      <x:c r="L238" s="89" t="str">
        <x:v>F</x:v>
      </x:c>
      <x:c r="M238" s="89" t="str">
        <x:v>DECLINE_RECOMMENDATION</x:v>
      </x:c>
      <x:c r="N238" s="101" t="n">
        <x:v>9647.50044237889</x:v>
      </x:c>
      <x:c r="O238" s="73" t="n">
        <x:v>0</x:v>
      </x:c>
    </x:row>
    <x:row r="239">
      <x:c r="A239" s="89" t="str">
        <x:v>APP-0005839</x:v>
      </x:c>
      <x:c r="B239" s="89" t="str">
        <x:v>2025-01-08</x:v>
      </x:c>
      <x:c r="C239" s="89" t="str">
        <x:v>Web</x:v>
      </x:c>
      <x:c r="D239" s="89" t="str">
        <x:v>Central Anatolia</x:v>
      </x:c>
      <x:c r="E239" s="89" t="str">
        <x:v>Retired</x:v>
      </x:c>
      <x:c r="F239" s="101" t="n">
        <x:v>15715.48</x:v>
      </x:c>
      <x:c r="G239" s="101" t="n">
        <x:v>25134.89</x:v>
      </x:c>
      <x:c r="H239" s="67" t="n">
        <x:v>0.14982</x:v>
      </x:c>
      <x:c r="I239" s="73" t="n">
        <x:v>728</x:v>
      </x:c>
      <x:c r="J239" s="67" t="n">
        <x:v>0.09964514608000424</x:v>
      </x:c>
      <x:c r="K239" s="73" t="n">
        <x:v>650</x:v>
      </x:c>
      <x:c r="L239" s="89" t="str">
        <x:v>C</x:v>
      </x:c>
      <x:c r="M239" s="89" t="str">
        <x:v>APPROVE_RECOMMENDATION</x:v>
      </x:c>
      <x:c r="N239" s="101" t="n">
        <x:v>1127.056403589677</x:v>
      </x:c>
      <x:c r="O239" s="73" t="n">
        <x:v>0</x:v>
      </x:c>
    </x:row>
    <x:row r="240">
      <x:c r="A240" s="89" t="str">
        <x:v>APP-0006961</x:v>
      </x:c>
      <x:c r="B240" s="89" t="str">
        <x:v>2025-01-08</x:v>
      </x:c>
      <x:c r="C240" s="89" t="str">
        <x:v>Web</x:v>
      </x:c>
      <x:c r="D240" s="89" t="str">
        <x:v>Aegean</x:v>
      </x:c>
      <x:c r="E240" s="89" t="str">
        <x:v>Contract</x:v>
      </x:c>
      <x:c r="F240" s="101" t="n">
        <x:v>42775.05</x:v>
      </x:c>
      <x:c r="G240" s="101" t="n">
        <x:v>36718.84</x:v>
      </x:c>
      <x:c r="H240" s="67" t="n">
        <x:v>0.35742</x:v>
      </x:c>
      <x:c r="I240" s="73" t="n">
        <x:v>722</x:v>
      </x:c>
      <x:c r="J240" s="67" t="n">
        <x:v>0.16336819010645068</x:v>
      </x:c>
      <x:c r="K240" s="73" t="n">
        <x:v>609</x:v>
      </x:c>
      <x:c r="L240" s="89" t="str">
        <x:v>E</x:v>
      </x:c>
      <x:c r="M240" s="89" t="str">
        <x:v>REFER</x:v>
      </x:c>
      <x:c r="N240" s="101" t="n">
        <x:v>2699.410695123755</x:v>
      </x:c>
      <x:c r="O240" s="73" t="n">
        <x:v>1</x:v>
      </x:c>
    </x:row>
    <x:row r="241">
      <x:c r="A241" s="89" t="str">
        <x:v>APP-0007301</x:v>
      </x:c>
      <x:c r="B241" s="89" t="str">
        <x:v>2025-01-08</x:v>
      </x:c>
      <x:c r="C241" s="89" t="str">
        <x:v>Partner</x:v>
      </x:c>
      <x:c r="D241" s="89" t="str">
        <x:v>Central Anatolia</x:v>
      </x:c>
      <x:c r="E241" s="89" t="str">
        <x:v>Salaried</x:v>
      </x:c>
      <x:c r="F241" s="101" t="n">
        <x:v>59489.96</x:v>
      </x:c>
      <x:c r="G241" s="101" t="n">
        <x:v>50501.25</x:v>
      </x:c>
      <x:c r="H241" s="67" t="n">
        <x:v>0.18169</x:v>
      </x:c>
      <x:c r="I241" s="73" t="n">
        <x:v>660</x:v>
      </x:c>
      <x:c r="J241" s="67" t="n">
        <x:v>0.07382772856448913</x:v>
      </x:c>
      <x:c r="K241" s="73" t="n">
        <x:v>674</x:v>
      </x:c>
      <x:c r="L241" s="89" t="str">
        <x:v>C</x:v>
      </x:c>
      <x:c r="M241" s="89" t="str">
        <x:v>APPROVE_RECOMMENDATION</x:v>
      </x:c>
      <x:c r="N241" s="101" t="n">
        <x:v>1677.7766597253333</x:v>
      </x:c>
      <x:c r="O241" s="73" t="n">
        <x:v>0</x:v>
      </x:c>
    </x:row>
    <x:row r="242">
      <x:c r="A242" s="89" t="str">
        <x:v>APP-0008851</x:v>
      </x:c>
      <x:c r="B242" s="89" t="str">
        <x:v>2025-01-08</x:v>
      </x:c>
      <x:c r="C242" s="89" t="str">
        <x:v>Mobile</x:v>
      </x:c>
      <x:c r="D242" s="89" t="str">
        <x:v>Marmara</x:v>
      </x:c>
      <x:c r="E242" s="89" t="str">
        <x:v>Public sector</x:v>
      </x:c>
      <x:c r="F242" s="101" t="n">
        <x:v>52621.59</x:v>
      </x:c>
      <x:c r="G242" s="101" t="n">
        <x:v>74157.03</x:v>
      </x:c>
      <x:c r="H242" s="67" t="n">
        <x:v>0.21848</x:v>
      </x:c>
      <x:c r="I242" s="73" t="n">
        <x:v>712</x:v>
      </x:c>
      <x:c r="J242" s="67" t="n">
        <x:v>0.053665215184829466</x:v>
      </x:c>
      <x:c r="K242" s="73" t="n">
        <x:v>699</x:v>
      </x:c>
      <x:c r="L242" s="89" t="str">
        <x:v>B</x:v>
      </x:c>
      <x:c r="M242" s="89" t="str">
        <x:v>APPROVE_RECOMMENDATION</x:v>
      </x:c>
      <x:c r="N242" s="101" t="n">
        <x:v>1790.8438375880346</x:v>
      </x:c>
      <x:c r="O242" s="73" t="n">
        <x:v>0</x:v>
      </x:c>
    </x:row>
    <x:row r="243">
      <x:c r="A243" s="89" t="str">
        <x:v>APP-0010989</x:v>
      </x:c>
      <x:c r="B243" s="89" t="str">
        <x:v>2025-01-08</x:v>
      </x:c>
      <x:c r="C243" s="89" t="str">
        <x:v>Mobile</x:v>
      </x:c>
      <x:c r="D243" s="89" t="str">
        <x:v>Marmara</x:v>
      </x:c>
      <x:c r="E243" s="89" t="str">
        <x:v>Self-employed</x:v>
      </x:c>
      <x:c r="F243" s="101" t="n">
        <x:v>41463.39</x:v>
      </x:c>
      <x:c r="G243" s="101" t="n">
        <x:v>21297.16</x:v>
      </x:c>
      <x:c r="H243" s="67" t="n">
        <x:v>0.45349</x:v>
      </x:c>
      <x:c r="I243" s="73" t="n">
        <x:v>674</x:v>
      </x:c>
      <x:c r="J243" s="67" t="n">
        <x:v>0.14256333263720597</x:v>
      </x:c>
      <x:c r="K243" s="73" t="n">
        <x:v>621</x:v>
      </x:c>
      <x:c r="L243" s="89" t="str">
        <x:v>D</x:v>
      </x:c>
      <x:c r="M243" s="89" t="str">
        <x:v>REFER</x:v>
      </x:c>
      <x:c r="N243" s="101" t="n">
        <x:v>1366.287347388509</x:v>
      </x:c>
      <x:c r="O243" s="73" t="n">
        <x:v>0</x:v>
      </x:c>
    </x:row>
    <x:row r="244">
      <x:c r="A244" s="89" t="str">
        <x:v>APP-0011761</x:v>
      </x:c>
      <x:c r="B244" s="89" t="str">
        <x:v>2025-01-08</x:v>
      </x:c>
      <x:c r="C244" s="89" t="str">
        <x:v>Mobile</x:v>
      </x:c>
      <x:c r="D244" s="89" t="str">
        <x:v>Central Anatolia</x:v>
      </x:c>
      <x:c r="E244" s="89" t="str">
        <x:v>Contract</x:v>
      </x:c>
      <x:c r="F244" s="101" t="n">
        <x:v>32450.91</x:v>
      </x:c>
      <x:c r="G244" s="101" t="n">
        <x:v>48769.99</x:v>
      </x:c>
      <x:c r="H244" s="67" t="n">
        <x:v>0.36924</x:v>
      </x:c>
      <x:c r="I244" s="73" t="n">
        <x:v>699</x:v>
      </x:c>
      <x:c r="J244" s="67" t="n">
        <x:v>0.1329506013486911</x:v>
      </x:c>
      <x:c r="K244" s="73" t="n">
        <x:v>627</x:v>
      </x:c>
      <x:c r="L244" s="89" t="str">
        <x:v>D</x:v>
      </x:c>
      <x:c r="M244" s="89" t="str">
        <x:v>REFER</x:v>
      </x:c>
      <x:c r="N244" s="101" t="n">
        <x:v>2917.799774221343</x:v>
      </x:c>
      <x:c r="O244" s="73" t="n">
        <x:v>1</x:v>
      </x:c>
    </x:row>
    <x:row r="245">
      <x:c r="A245" s="89" t="str">
        <x:v>APP-0012217</x:v>
      </x:c>
      <x:c r="B245" s="89" t="str">
        <x:v>2025-01-08</x:v>
      </x:c>
      <x:c r="C245" s="89" t="str">
        <x:v>Branch</x:v>
      </x:c>
      <x:c r="D245" s="89" t="str">
        <x:v>Mediterranean</x:v>
      </x:c>
      <x:c r="E245" s="89" t="str">
        <x:v>Self-employed</x:v>
      </x:c>
      <x:c r="F245" s="101" t="n">
        <x:v>12064.64</x:v>
      </x:c>
      <x:c r="G245" s="101" t="n">
        <x:v>10000</x:v>
      </x:c>
      <x:c r="H245" s="67" t="n">
        <x:v>0.41444</x:v>
      </x:c>
      <x:c r="I245" s="73" t="n">
        <x:v>666</x:v>
      </x:c>
      <x:c r="J245" s="67" t="n">
        <x:v>0.06949070498587473</x:v>
      </x:c>
      <x:c r="K245" s="73" t="n">
        <x:v>679</x:v>
      </x:c>
      <x:c r="L245" s="89" t="str">
        <x:v>C</x:v>
      </x:c>
      <x:c r="M245" s="89" t="str">
        <x:v>APPROVE_RECOMMENDATION</x:v>
      </x:c>
      <x:c r="N245" s="101" t="n">
        <x:v>312.7081724364363</x:v>
      </x:c>
      <x:c r="O245" s="73" t="n">
        <x:v>0</x:v>
      </x:c>
    </x:row>
    <x:row r="246">
      <x:c r="A246" s="89" t="str">
        <x:v>APP-0013053</x:v>
      </x:c>
      <x:c r="B246" s="89" t="str">
        <x:v>2025-01-08</x:v>
      </x:c>
      <x:c r="C246" s="89" t="str">
        <x:v>Branch</x:v>
      </x:c>
      <x:c r="D246" s="89" t="str">
        <x:v>Central Anatolia</x:v>
      </x:c>
      <x:c r="E246" s="89" t="str">
        <x:v>Self-employed</x:v>
      </x:c>
      <x:c r="F246" s="101" t="n">
        <x:v>157625.74</x:v>
      </x:c>
      <x:c r="G246" s="101" t="n">
        <x:v>97707.03</x:v>
      </x:c>
      <x:c r="H246" s="67" t="n">
        <x:v>0.1669</x:v>
      </x:c>
      <x:c r="I246" s="73" t="n">
        <x:v>676</x:v>
      </x:c>
      <x:c r="J246" s="67" t="n">
        <x:v>0.15871379626072765</x:v>
      </x:c>
      <x:c r="K246" s="73" t="n">
        <x:v>612</x:v>
      </x:c>
      <x:c r="L246" s="89" t="str">
        <x:v>E</x:v>
      </x:c>
      <x:c r="M246" s="89" t="str">
        <x:v>REFER</x:v>
      </x:c>
      <x:c r="N246" s="101" t="n">
        <x:v>6978.354143697362</x:v>
      </x:c>
      <x:c r="O246" s="73" t="n">
        <x:v>0</x:v>
      </x:c>
    </x:row>
    <x:row r="247">
      <x:c r="A247" s="89" t="str">
        <x:v>APP-0013802</x:v>
      </x:c>
      <x:c r="B247" s="89" t="str">
        <x:v>2025-01-08</x:v>
      </x:c>
      <x:c r="C247" s="89" t="str">
        <x:v>Mobile</x:v>
      </x:c>
      <x:c r="D247" s="89" t="str">
        <x:v>Marmara</x:v>
      </x:c>
      <x:c r="E247" s="89" t="str">
        <x:v>Salaried</x:v>
      </x:c>
      <x:c r="F247" s="101" t="n">
        <x:v>39975.54</x:v>
      </x:c>
      <x:c r="G247" s="101" t="n">
        <x:v>14754.96</x:v>
      </x:c>
      <x:c r="H247" s="67" t="n">
        <x:v>0.13911</x:v>
      </x:c>
      <x:c r="I247" s="73" t="n">
        <x:v>575</x:v>
      </x:c>
      <x:c r="J247" s="67" t="n">
        <x:v>0.29589109415213166</x:v>
      </x:c>
      <x:c r="K247" s="73" t="n">
        <x:v>554</x:v>
      </x:c>
      <x:c r="L247" s="89" t="str">
        <x:v>F</x:v>
      </x:c>
      <x:c r="M247" s="89" t="str">
        <x:v>DECLINE_RECOMMENDATION</x:v>
      </x:c>
      <x:c r="N247" s="101" t="n">
        <x:v>1964.6375663569215</x:v>
      </x:c>
      <x:c r="O247" s="73" t="n">
        <x:v>0</x:v>
      </x:c>
    </x:row>
    <x:row r="248">
      <x:c r="A248" s="89" t="str">
        <x:v>APP-0014547</x:v>
      </x:c>
      <x:c r="B248" s="89" t="str">
        <x:v>2025-01-08</x:v>
      </x:c>
      <x:c r="C248" s="89" t="str">
        <x:v>Mobile</x:v>
      </x:c>
      <x:c r="D248" s="89" t="str">
        <x:v>Aegean</x:v>
      </x:c>
      <x:c r="E248" s="89" t="str">
        <x:v>Salaried</x:v>
      </x:c>
      <x:c r="F248" s="101" t="n">
        <x:v>77707.2</x:v>
      </x:c>
      <x:c r="G248" s="101" t="n">
        <x:v>135135.56</x:v>
      </x:c>
      <x:c r="H248" s="67" t="n">
        <x:v>0.32011</x:v>
      </x:c>
      <x:c r="I248" s="73" t="n">
        <x:v>716</x:v>
      </x:c>
      <x:c r="J248" s="67" t="n">
        <x:v>0.12914777197129063</x:v>
      </x:c>
      <x:c r="K248" s="73" t="n">
        <x:v>629</x:v>
      </x:c>
      <x:c r="L248" s="89" t="str">
        <x:v>D</x:v>
      </x:c>
      <x:c r="M248" s="89" t="str">
        <x:v>REFER</x:v>
      </x:c>
      <x:c r="N248" s="101" t="n">
        <x:v>7853.605419641698</x:v>
      </x:c>
      <x:c r="O248" s="73" t="n">
        <x:v>0</x:v>
      </x:c>
    </x:row>
    <x:row r="249">
      <x:c r="A249" s="89" t="str">
        <x:v>APP-0015520</x:v>
      </x:c>
      <x:c r="B249" s="89" t="str">
        <x:v>2025-01-08</x:v>
      </x:c>
      <x:c r="C249" s="89" t="str">
        <x:v>Partner</x:v>
      </x:c>
      <x:c r="D249" s="89" t="str">
        <x:v>Mediterranean</x:v>
      </x:c>
      <x:c r="E249" s="89" t="str">
        <x:v>Public sector</x:v>
      </x:c>
      <x:c r="F249" s="101" t="n">
        <x:v>42977.74</x:v>
      </x:c>
      <x:c r="G249" s="101" t="n">
        <x:v>17664.11</x:v>
      </x:c>
      <x:c r="H249" s="67" t="n">
        <x:v>0.22001</x:v>
      </x:c>
      <x:c r="I249" s="73" t="n">
        <x:v>689</x:v>
      </x:c>
      <x:c r="J249" s="67" t="n">
        <x:v>0.08677973384891864</x:v>
      </x:c>
      <x:c r="K249" s="73" t="n">
        <x:v>661</x:v>
      </x:c>
      <x:c r="L249" s="89" t="str">
        <x:v>C</x:v>
      </x:c>
      <x:c r="M249" s="89" t="str">
        <x:v>APPROVE_RECOMMENDATION</x:v>
      </x:c>
      <x:c r="N249" s="101" t="n">
        <x:v>689.7990440151101</x:v>
      </x:c>
      <x:c r="O249" s="73" t="n">
        <x:v>0</x:v>
      </x:c>
    </x:row>
    <x:row r="250">
      <x:c r="A250" s="89" t="str">
        <x:v>APP-0024045</x:v>
      </x:c>
      <x:c r="B250" s="89" t="str">
        <x:v>2025-01-08</x:v>
      </x:c>
      <x:c r="C250" s="89" t="str">
        <x:v>Web</x:v>
      </x:c>
      <x:c r="D250" s="89" t="str">
        <x:v>Mediterranean</x:v>
      </x:c>
      <x:c r="E250" s="89" t="str">
        <x:v>Salaried</x:v>
      </x:c>
      <x:c r="F250" s="101" t="n">
        <x:v>56836.98</x:v>
      </x:c>
      <x:c r="G250" s="101" t="n">
        <x:v>26078.04</x:v>
      </x:c>
      <x:c r="H250" s="67" t="n">
        <x:v>0.336</x:v>
      </x:c>
      <x:c r="I250" s="73" t="n">
        <x:v>742</x:v>
      </x:c>
      <x:c r="J250" s="67" t="n">
        <x:v>0.0940353409943218</x:v>
      </x:c>
      <x:c r="K250" s="73" t="n">
        <x:v>655</x:v>
      </x:c>
      <x:c r="L250" s="89" t="str">
        <x:v>C</x:v>
      </x:c>
      <x:c r="M250" s="89" t="str">
        <x:v>APPROVE_RECOMMENDATION</x:v>
      </x:c>
      <x:c r="N250" s="101" t="n">
        <x:v>1103.5158227386037</x:v>
      </x:c>
      <x:c r="O250" s="73" t="n">
        <x:v>0</x:v>
      </x:c>
    </x:row>
    <x:row r="251">
      <x:c r="A251" s="89" t="str">
        <x:v>APP-0026640</x:v>
      </x:c>
      <x:c r="B251" s="89" t="str">
        <x:v>2025-01-08</x:v>
      </x:c>
      <x:c r="C251" s="89" t="str">
        <x:v>Partner</x:v>
      </x:c>
      <x:c r="D251" s="89" t="str">
        <x:v>Central Anatolia</x:v>
      </x:c>
      <x:c r="E251" s="89" t="str">
        <x:v>Retired</x:v>
      </x:c>
      <x:c r="F251" s="101" t="n">
        <x:v>66153.04</x:v>
      </x:c>
      <x:c r="G251" s="101" t="n">
        <x:v>169433.74</x:v>
      </x:c>
      <x:c r="H251" s="67" t="n">
        <x:v>0.23165</x:v>
      </x:c>
      <x:c r="I251" s="73" t="n">
        <x:v>655</x:v>
      </x:c>
      <x:c r="J251" s="67" t="n">
        <x:v>0.12996601922790857</x:v>
      </x:c>
      <x:c r="K251" s="73" t="n">
        <x:v>629</x:v>
      </x:c>
      <x:c r="L251" s="89" t="str">
        <x:v>D</x:v>
      </x:c>
      <x:c r="M251" s="89" t="str">
        <x:v>REFER</x:v>
      </x:c>
      <x:c r="N251" s="101" t="n">
        <x:v>9909.282919813408</x:v>
      </x:c>
      <x:c r="O251" s="73" t="n">
        <x:v>0</x:v>
      </x:c>
    </x:row>
    <x:row r="252">
      <x:c r="A252" s="89" t="str">
        <x:v>APP-0026788</x:v>
      </x:c>
      <x:c r="B252" s="89" t="str">
        <x:v>2025-01-08</x:v>
      </x:c>
      <x:c r="C252" s="89" t="str">
        <x:v>Branch</x:v>
      </x:c>
      <x:c r="D252" s="89" t="str">
        <x:v>Aegean</x:v>
      </x:c>
      <x:c r="E252" s="89" t="str">
        <x:v>Salaried</x:v>
      </x:c>
      <x:c r="F252" s="101" t="n">
        <x:v>33688.34</x:v>
      </x:c>
      <x:c r="G252" s="101" t="n">
        <x:v>71984.15</x:v>
      </x:c>
      <x:c r="H252" s="67" t="n">
        <x:v>0.45082</x:v>
      </x:c>
      <x:c r="I252" s="73" t="n">
        <x:v>689</x:v>
      </x:c>
      <x:c r="J252" s="67" t="n">
        <x:v>0.15621097270890835</x:v>
      </x:c>
      <x:c r="K252" s="73" t="n">
        <x:v>613</x:v>
      </x:c>
      <x:c r="L252" s="89" t="str">
        <x:v>E</x:v>
      </x:c>
      <x:c r="M252" s="89" t="str">
        <x:v>REFER</x:v>
      </x:c>
      <x:c r="N252" s="101" t="n">
        <x:v>5060.1213410057835</x:v>
      </x:c>
      <x:c r="O252" s="73" t="n">
        <x:v>0</x:v>
      </x:c>
    </x:row>
    <x:row r="253">
      <x:c r="A253" s="89" t="str">
        <x:v>APP-0028032</x:v>
      </x:c>
      <x:c r="B253" s="89" t="str">
        <x:v>2025-01-08</x:v>
      </x:c>
      <x:c r="C253" s="89" t="str">
        <x:v>Web</x:v>
      </x:c>
      <x:c r="D253" s="89" t="str">
        <x:v>Central Anatolia</x:v>
      </x:c>
      <x:c r="E253" s="89" t="str">
        <x:v>Salaried</x:v>
      </x:c>
      <x:c r="F253" s="101" t="n">
        <x:v>27146.65</x:v>
      </x:c>
      <x:c r="G253" s="101" t="n">
        <x:v>37462.92</x:v>
      </x:c>
      <x:c r="H253" s="67" t="n">
        <x:v>0.2374</x:v>
      </x:c>
      <x:c r="I253" s="73" t="n">
        <x:v>749</x:v>
      </x:c>
      <x:c r="J253" s="67" t="n">
        <x:v>0.04790070322910514</x:v>
      </x:c>
      <x:c r="K253" s="73" t="n">
        <x:v>707</x:v>
      </x:c>
      <x:c r="L253" s="89" t="str">
        <x:v>B</x:v>
      </x:c>
      <x:c r="M253" s="89" t="str">
        <x:v>APPROVE_RECOMMENDATION</x:v>
      </x:c>
      <x:c r="N253" s="101" t="n">
        <x:v>807.5250958570684</x:v>
      </x:c>
      <x:c r="O253" s="73" t="n">
        <x:v>0</x:v>
      </x:c>
    </x:row>
    <x:row r="254">
      <x:c r="A254" s="90" t="str">
        <x:v>APP-0029426</x:v>
      </x:c>
      <x:c r="B254" s="90" t="str">
        <x:v>2025-01-08</x:v>
      </x:c>
      <x:c r="C254" s="90" t="str">
        <x:v>Mobile</x:v>
      </x:c>
      <x:c r="D254" s="90" t="str">
        <x:v>Mediterranean</x:v>
      </x:c>
      <x:c r="E254" s="90" t="str">
        <x:v>Salaried</x:v>
      </x:c>
      <x:c r="F254" s="102" t="n">
        <x:v>74419.94</x:v>
      </x:c>
      <x:c r="G254" s="102" t="n">
        <x:v>44697.77</x:v>
      </x:c>
      <x:c r="H254" s="68" t="n">
        <x:v>0.51977</x:v>
      </x:c>
      <x:c r="I254" s="74" t="n">
        <x:v>644</x:v>
      </x:c>
      <x:c r="J254" s="68" t="n">
        <x:v>0.279337141991754</x:v>
      </x:c>
      <x:c r="K254" s="74" t="n">
        <x:v>560</x:v>
      </x:c>
      <x:c r="L254" s="90" t="str">
        <x:v>F</x:v>
      </x:c>
      <x:c r="M254" s="90" t="str">
        <x:v>DECLINE_RECOMMENDATION</x:v>
      </x:c>
      <x:c r="N254" s="102" t="n">
        <x:v>5618.586296342143</x:v>
      </x:c>
      <x:c r="O254" s="74" t="n">
        <x:v>1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5" hidden="0" customWidth="1"/>
    <x:col min="3" max="3" width="18" hidden="0" customWidth="1"/>
    <x:col min="4" max="4" width="18" hidden="0" customWidth="1"/>
    <x:col min="5" max="5" width="13" hidden="0" customWidth="1"/>
  </x:cols>
  <x:sheetData>
    <x:row r="1" ht="34" customHeight="1">
      <x:c r="A1" s="22" t="str">
        <x:v>Critical data-quality and safety controls</x:v>
      </x:c>
      <x:c r="B1" s="22"/>
      <x:c r="C1" s="22"/>
      <x:c r="D1" s="22"/>
      <x:c r="E1" s="22"/>
    </x:row>
    <x:row r="2" ht="34" customHeight="1">
      <x:c r="A2" s="25" t="str">
        <x:v>Every control must pass before the analytical package can be circulated.</x:v>
      </x:c>
      <x:c r="B2" s="25"/>
      <x:c r="C2" s="25"/>
      <x:c r="D2" s="25"/>
      <x:c r="E2" s="25"/>
    </x:row>
    <x:row r="4" ht="28" customHeight="1">
      <x:c r="A4" s="34" t="str">
        <x:v>Check ID</x:v>
      </x:c>
      <x:c r="B4" s="35" t="str">
        <x:v>Control</x:v>
      </x:c>
      <x:c r="C4" s="35" t="str">
        <x:v>Actual</x:v>
      </x:c>
      <x:c r="D4" s="35" t="str">
        <x:v>Expected</x:v>
      </x:c>
      <x:c r="E4" s="36" t="str">
        <x:v>Status</x:v>
      </x:c>
    </x:row>
    <x:row r="5">
      <x:c r="A5" s="88" t="str">
        <x:v>DQ-001</x:v>
      </x:c>
      <x:c r="B5" s="88" t="str">
        <x:v>Expected schema present</x:v>
      </x:c>
      <x:c r="C5" s="88" t="str">
        <x:v>28</x:v>
      </x:c>
      <x:c r="D5" s="88" t="str">
        <x:v>28</x:v>
      </x:c>
      <x:c r="E5" s="88" t="str">
        <x:v>PASS</x:v>
      </x:c>
    </x:row>
    <x:row r="6">
      <x:c r="A6" s="89" t="str">
        <x:v>DQ-002</x:v>
      </x:c>
      <x:c r="B6" s="89" t="str">
        <x:v>Application ID unique</x:v>
      </x:c>
      <x:c r="C6" s="89" t="str">
        <x:v>48000</x:v>
      </x:c>
      <x:c r="D6" s="89" t="str">
        <x:v>48000</x:v>
      </x:c>
      <x:c r="E6" s="89" t="str">
        <x:v>PASS</x:v>
      </x:c>
    </x:row>
    <x:row r="7">
      <x:c r="A7" s="89" t="str">
        <x:v>DQ-003</x:v>
      </x:c>
      <x:c r="B7" s="89" t="str">
        <x:v>Target binary</x:v>
      </x:c>
      <x:c r="C7" s="89" t="str">
        <x:v>0,1</x:v>
      </x:c>
      <x:c r="D7" s="89" t="str">
        <x:v>0,1</x:v>
      </x:c>
      <x:c r="E7" s="89" t="str">
        <x:v>PASS</x:v>
      </x:c>
    </x:row>
    <x:row r="8">
      <x:c r="A8" s="89" t="str">
        <x:v>DQ-004</x:v>
      </x:c>
      <x:c r="B8" s="89" t="str">
        <x:v>Model feature completeness</x:v>
      </x:c>
      <x:c r="C8" s="89" t="str">
        <x:v>0</x:v>
      </x:c>
      <x:c r="D8" s="89" t="str">
        <x:v>0</x:v>
      </x:c>
      <x:c r="E8" s="89" t="str">
        <x:v>PASS</x:v>
      </x:c>
    </x:row>
    <x:row r="9">
      <x:c r="A9" s="89" t="str">
        <x:v>DQ-005</x:v>
      </x:c>
      <x:c r="B9" s="89" t="str">
        <x:v>Synthetic-only safety flag</x:v>
      </x:c>
      <x:c r="C9" s="89" t="str">
        <x:v>True</x:v>
      </x:c>
      <x:c r="D9" s="89" t="str">
        <x:v>True</x:v>
      </x:c>
      <x:c r="E9" s="89" t="str">
        <x:v>PASS</x:v>
      </x:c>
    </x:row>
    <x:row r="10">
      <x:c r="A10" s="90" t="str">
        <x:v>DQ-006</x:v>
      </x:c>
      <x:c r="B10" s="90" t="str">
        <x:v>Production decisions disabled</x:v>
      </x:c>
      <x:c r="C10" s="90" t="str">
        <x:v>False</x:v>
      </x:c>
      <x:c r="D10" s="90" t="str">
        <x:v>False</x:v>
      </x:c>
      <x:c r="E10" s="90" t="str">
        <x:v>PASS</x:v>
      </x:c>
    </x:row>
  </x:sheetData>
  <x:mergeCells>
    <x:mergeCell ref="A1:E1"/>
    <x:mergeCell ref="A2:E2"/>
  </x:mergeCells>
  <x:conditionalFormatting sqref="E5:E10">
    <x:cfRule type="containsText" dxfId="8" priority="1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55" hidden="0" customWidth="1"/>
  </x:cols>
  <x:sheetData>
    <x:row r="1" ht="34" customHeight="1">
      <x:c r="A1" s="22" t="str">
        <x:v>Governed assumptions</x:v>
      </x:c>
      <x:c r="B1" s="22"/>
      <x:c r="C1" s="22"/>
      <x:c r="D1" s="22"/>
      <x:c r="E1" s="22"/>
      <x:c r="F1" s="22"/>
    </x:row>
    <x:row r="2" ht="34" customHeight="1">
      <x:c r="A2" s="25" t="str">
        <x:v>Blue text / yellow fill = editable input. All scenario formulas reference this sheet.</x:v>
      </x:c>
      <x:c r="B2" s="25"/>
      <x:c r="C2" s="25"/>
      <x:c r="D2" s="25"/>
      <x:c r="E2" s="25"/>
      <x:c r="F2" s="25"/>
    </x:row>
    <x:row r="4">
      <x:c r="A4" s="19" t="str">
        <x:v>Decision policy</x:v>
      </x:c>
      <x:c r="B4" s="19"/>
      <x:c r="C4" s="19"/>
      <x:c r="D4" s="19"/>
      <x:c r="E4" s="19"/>
      <x:c r="F4" s="19"/>
    </x:row>
    <x:row r="5" ht="28" customHeight="1">
      <x:c r="A5" s="34" t="str">
        <x:v>Input</x:v>
      </x:c>
      <x:c r="B5" s="35" t="str">
        <x:v>Value</x:v>
      </x:c>
      <x:c r="C5" s="36" t="str">
        <x:v>Control / interpretation</x:v>
      </x:c>
    </x:row>
    <x:row r="6">
      <x:c r="A6" s="13" t="str">
        <x:v>Approve maximum PD</x:v>
      </x:c>
      <x:c r="B6" s="46" t="n">
        <x:v>0.1</x:v>
      </x:c>
      <x:c r="C6" s="13" t="str">
        <x:v>Below this boundary = approve recommendation</x:v>
      </x:c>
    </x:row>
    <x:row r="7">
      <x:c r="A7" s="14" t="str">
        <x:v>Refer maximum PD</x:v>
      </x:c>
      <x:c r="B7" s="47" t="n">
        <x:v>0.22</x:v>
      </x:c>
      <x:c r="C7" s="14" t="str">
        <x:v>At or above approve boundary and below this boundary = refer</x:v>
      </x:c>
    </x:row>
    <x:row r="8">
      <x:c r="A8" s="14" t="str">
        <x:v>LGD assumption</x:v>
      </x:c>
      <x:c r="B8" s="47" t="n">
        <x:v>0.45</x:v>
      </x:c>
      <x:c r="C8" s="14" t="str">
        <x:v>Illustrative unsecured loss-given-default</x:v>
      </x:c>
    </x:row>
    <x:row r="9">
      <x:c r="A9" s="14" t="str">
        <x:v>Score anchor</x:v>
      </x:c>
      <x:c r="B9" s="48" t="n">
        <x:v>650</x:v>
      </x:c>
      <x:c r="C9" s="14" t="str">
        <x:v>Score at anchor PD</x:v>
      </x:c>
    </x:row>
    <x:row r="10">
      <x:c r="A10" s="14" t="str">
        <x:v>Anchor PD</x:v>
      </x:c>
      <x:c r="B10" s="48" t="n">
        <x:v>0.1</x:v>
      </x:c>
      <x:c r="C10" s="14" t="str">
        <x:v>PD corresponding to score anchor</x:v>
      </x:c>
    </x:row>
    <x:row r="11">
      <x:c r="A11" s="14" t="str">
        <x:v>Points to double odds</x:v>
      </x:c>
      <x:c r="B11" s="48" t="n">
        <x:v>50</x:v>
      </x:c>
      <x:c r="C11" s="14" t="str">
        <x:v>Score scaling convention</x:v>
      </x:c>
    </x:row>
    <x:row r="12">
      <x:c r="A12" s="15" t="str">
        <x:v>Currency</x:v>
      </x:c>
      <x:c r="B12" s="45" t="str">
        <x:v>TRY</x:v>
      </x:c>
      <x:c r="C12" s="15" t="str">
        <x:v>Display and scenario reporting only</x:v>
      </x:c>
    </x:row>
    <x:row r="14">
      <x:c r="A14" s="19" t="str">
        <x:v>Monitoring triage levels</x:v>
      </x:c>
      <x:c r="B14" s="19"/>
      <x:c r="C14" s="19"/>
      <x:c r="D14" s="19"/>
      <x:c r="E14" s="19"/>
      <x:c r="F14" s="19"/>
    </x:row>
    <x:row r="15" ht="28" customHeight="1">
      <x:c r="A15" s="34" t="str">
        <x:v>Input</x:v>
      </x:c>
      <x:c r="B15" s="35" t="str">
        <x:v>Value</x:v>
      </x:c>
      <x:c r="C15" s="36" t="str">
        <x:v>Interpretation</x:v>
      </x:c>
    </x:row>
    <x:row r="16">
      <x:c r="A16" s="13" t="str">
        <x:v>Score PSI warning</x:v>
      </x:c>
      <x:c r="B16" s="49" t="n">
        <x:v>0.1</x:v>
      </x:c>
      <x:c r="C16" s="13" t="str">
        <x:v>Internal triage level; not a regulatory threshold</x:v>
      </x:c>
    </x:row>
    <x:row r="17">
      <x:c r="A17" s="14" t="str">
        <x:v>Score PSI critical</x:v>
      </x:c>
      <x:c r="B17" s="50" t="n">
        <x:v>0.25</x:v>
      </x:c>
      <x:c r="C17" s="14" t="str">
        <x:v>Escalate and investigate</x:v>
      </x:c>
    </x:row>
    <x:row r="18">
      <x:c r="A18" s="14" t="str">
        <x:v>AUC drop warning</x:v>
      </x:c>
      <x:c r="B18" s="50" t="n">
        <x:v>0.03</x:v>
      </x:c>
      <x:c r="C18" s="14" t="str">
        <x:v>Versus validation baseline</x:v>
      </x:c>
    </x:row>
    <x:row r="19">
      <x:c r="A19" s="14" t="str">
        <x:v>AUC drop critical</x:v>
      </x:c>
      <x:c r="B19" s="50" t="n">
        <x:v>0.05</x:v>
      </x:c>
      <x:c r="C19" s="14" t="str">
        <x:v>Escalate and consider rollback</x:v>
      </x:c>
    </x:row>
    <x:row r="20">
      <x:c r="A20" s="15" t="str">
        <x:v>Fairness difference triage</x:v>
      </x:c>
      <x:c r="B20" s="51" t="n">
        <x:v>0.1</x:v>
      </x:c>
      <x:c r="C20" s="15" t="str">
        <x:v>Internal signal only; not a legal standard</x:v>
      </x:c>
    </x:row>
  </x:sheetData>
  <x:mergeCells>
    <x:mergeCell ref="A1:F1"/>
    <x:mergeCell ref="A2:F2"/>
    <x:mergeCell ref="A4:F4"/>
    <x:mergeCell ref="A14:F14"/>
  </x:mergeCells>
  <x:dataValidations count="1">
    <x:dataValidation type="decimal" operator="between" sqref="B6:B8">
      <x:formula1>0</x:formula1>
      <x:formula2>1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62" hidden="0" customWidth="1"/>
    <x:col min="4" max="4" width="30" hidden="0" customWidth="1"/>
    <x:col min="5" max="5" width="16" hidden="0" customWidth="1"/>
    <x:col min="6" max="6" width="38" hidden="0" customWidth="1"/>
  </x:cols>
  <x:sheetData>
    <x:row r="1" ht="34" customHeight="1">
      <x:c r="A1" s="22" t="str">
        <x:v>Sources, lineage and limitations</x:v>
      </x:c>
      <x:c r="B1" s="22"/>
      <x:c r="C1" s="22"/>
      <x:c r="D1" s="22"/>
      <x:c r="E1" s="22"/>
      <x:c r="F1" s="22"/>
    </x:row>
    <x:row r="2" ht="34" customHeight="1">
      <x:c r="A2" s="25" t="str">
        <x:v>Primary references support the control design; they do not certify compliance.</x:v>
      </x:c>
      <x:c r="B2" s="25"/>
      <x:c r="C2" s="25"/>
      <x:c r="D2" s="25"/>
      <x:c r="E2" s="25"/>
      <x:c r="F2" s="25"/>
    </x:row>
    <x:row r="4" ht="28" customHeight="1">
      <x:c r="A4" s="34" t="str">
        <x:v>ID</x:v>
      </x:c>
      <x:c r="B4" s="35" t="str">
        <x:v>Source / artifact</x:v>
      </x:c>
      <x:c r="C4" s="35" t="str">
        <x:v>URL or path</x:v>
      </x:c>
      <x:c r="D4" s="35" t="str">
        <x:v>Used for</x:v>
      </x:c>
      <x:c r="E4" s="35" t="str">
        <x:v>As of</x:v>
      </x:c>
      <x:c r="F4" s="36" t="str">
        <x:v>Limitation</x:v>
      </x:c>
    </x:row>
    <x:row r="5" ht="42" customHeight="1">
      <x:c r="A5" s="85" t="str">
        <x:v>SRC-01</x:v>
      </x:c>
      <x:c r="B5" s="85" t="str">
        <x:v>Basel Committee — Principles for management of credit risk</x:v>
      </x:c>
      <x:c r="C5" s="109" t="str">
        <x:v>https://www.bis.org/bcbs/publ/d595.pdf</x:v>
      </x:c>
      <x:c r="D5" s="85" t="str">
        <x:v>Credit granting, monitoring, controls</x:v>
      </x:c>
      <x:c r="E5" s="85" t="str">
        <x:v>2025</x:v>
      </x:c>
      <x:c r="F5" s="85" t="str">
        <x:v>Reference mapping only</x:v>
      </x:c>
    </x:row>
    <x:row r="6" ht="42" customHeight="1">
      <x:c r="A6" s="86" t="str">
        <x:v>SRC-02</x:v>
      </x:c>
      <x:c r="B6" s="86" t="str">
        <x:v>EBA Guidelines on loan origination and monitoring</x:v>
      </x:c>
      <x:c r="C6" s="110" t="str">
        <x:v>https://www.eba.europa.eu/sites/default/files/document_library/Publications/Guidelines/2020/Guidelines%20on%20loan%20origination%20and%20monitoring/884283/EBA%20GL%202020%2006%20Final%20Report%20on%20GL%20on%20loan%20origination%20and%20monitoring.pdf</x:v>
      </x:c>
      <x:c r="D6" s="86" t="str">
        <x:v>Creditworthiness governance</x:v>
      </x:c>
      <x:c r="E6" s="86" t="str">
        <x:v>2020</x:v>
      </x:c>
      <x:c r="F6" s="86" t="str">
        <x:v>Jurisdiction-specific applicability required</x:v>
      </x:c>
    </x:row>
    <x:row r="7" ht="42" customHeight="1">
      <x:c r="A7" s="86" t="str">
        <x:v>SRC-03</x:v>
      </x:c>
      <x:c r="B7" s="86" t="str">
        <x:v>NIST AI RMF 1.0</x:v>
      </x:c>
      <x:c r="C7" s="110" t="str">
        <x:v>https://www.nist.gov/itl/ai-risk-management-framework</x:v>
      </x:c>
      <x:c r="D7" s="86" t="str">
        <x:v>Govern, Map, Measure, Manage</x:v>
      </x:c>
      <x:c r="E7" s="86" t="str">
        <x:v>2023</x:v>
      </x:c>
      <x:c r="F7" s="86" t="str">
        <x:v>Voluntary framework</x:v>
      </x:c>
    </x:row>
    <x:row r="8" ht="42" customHeight="1">
      <x:c r="A8" s="86" t="str">
        <x:v>SRC-04</x:v>
      </x:c>
      <x:c r="B8" s="86" t="str">
        <x:v>EU AI Act</x:v>
      </x:c>
      <x:c r="C8" s="110" t="str">
        <x:v>https://eur-lex.europa.eu/eli/reg/2024/1689/oj</x:v>
      </x:c>
      <x:c r="D8" s="86" t="str">
        <x:v>High-risk context and human oversight</x:v>
      </x:c>
      <x:c r="E8" s="86" t="str">
        <x:v>2024</x:v>
      </x:c>
      <x:c r="F8" s="86" t="str">
        <x:v>Legal advice required</x:v>
      </x:c>
    </x:row>
    <x:row r="9" ht="42" customHeight="1">
      <x:c r="A9" s="86" t="str">
        <x:v>SRC-05</x:v>
      </x:c>
      <x:c r="B9" s="86" t="str">
        <x:v>IFRS 9 Financial Instruments</x:v>
      </x:c>
      <x:c r="C9" s="110" t="str">
        <x:v>https://www.ifrs.org/issued-standards/list-of-standards/ifrs-9-financial-instruments/</x:v>
      </x:c>
      <x:c r="D9" s="86" t="str">
        <x:v>Expected credit loss terminology</x:v>
      </x:c>
      <x:c r="E9" s="86" t="str">
        <x:v>Current page</x:v>
      </x:c>
      <x:c r="F9" s="86" t="str">
        <x:v>Workbook EL is illustrative, not IFRS 9 compliant</x:v>
      </x:c>
    </x:row>
    <x:row r="10" ht="42" customHeight="1">
      <x:c r="A10" s="86" t="str">
        <x:v>SRC-06</x:v>
      </x:c>
      <x:c r="B10" s="86" t="str">
        <x:v>SHAP documentation</x:v>
      </x:c>
      <x:c r="C10" s="110" t="str">
        <x:v>https://shap.readthedocs.io/en/latest/</x:v>
      </x:c>
      <x:c r="D10" s="86" t="str">
        <x:v>Linear SHAP interpretation</x:v>
      </x:c>
      <x:c r="E10" s="86" t="str">
        <x:v>Current docs</x:v>
      </x:c>
      <x:c r="F10" s="86" t="str">
        <x:v>Non-causal explanation</x:v>
      </x:c>
    </x:row>
    <x:row r="11" ht="42" customHeight="1">
      <x:c r="A11" s="86" t="str">
        <x:v>SRC-07</x:v>
      </x:c>
      <x:c r="B11" s="86" t="str">
        <x:v>scikit-learn probability calibration</x:v>
      </x:c>
      <x:c r="C11" s="110" t="str">
        <x:v>https://scikit-learn.org/stable/modules/calibration.html</x:v>
      </x:c>
      <x:c r="D11" s="86" t="str">
        <x:v>Calibration diagnostics</x:v>
      </x:c>
      <x:c r="E11" s="86" t="str">
        <x:v>Current docs</x:v>
      </x:c>
      <x:c r="F11" s="86" t="str">
        <x:v>Implementation reference</x:v>
      </x:c>
    </x:row>
    <x:row r="12" ht="42" customHeight="1">
      <x:c r="A12" s="86" t="str">
        <x:v>SRC-08</x:v>
      </x:c>
      <x:c r="B12" s="86" t="str">
        <x:v>Fairlearn assessment documentation</x:v>
      </x:c>
      <x:c r="C12" s="110" t="str">
        <x:v>https://fairlearn.org/main/user_guide/assessment/index.html</x:v>
      </x:c>
      <x:c r="D12" s="86" t="str">
        <x:v>Disaggregated fairness metrics</x:v>
      </x:c>
      <x:c r="E12" s="86" t="str">
        <x:v>Current docs</x:v>
      </x:c>
      <x:c r="F12" s="86" t="str">
        <x:v>Metrics do not define legal fairness</x:v>
      </x:c>
    </x:row>
    <x:row r="13" ht="42" customHeight="1">
      <x:c r="A13" s="86" t="str">
        <x:v>ART-01</x:v>
      </x:c>
      <x:c r="B13" s="86" t="str">
        <x:v>Executive metrics</x:v>
      </x:c>
      <x:c r="C13" s="110" t="str">
        <x:v>artifacts/metrics/executive_summary.json</x:v>
      </x:c>
      <x:c r="D13" s="86" t="str">
        <x:v>Workbook KPI source</x:v>
      </x:c>
      <x:c r="E13" s="86" t="str">
        <x:v>Generated</x:v>
      </x:c>
      <x:c r="F13" s="86" t="str">
        <x:v>Synthetic</x:v>
      </x:c>
    </x:row>
    <x:row r="14" ht="42" customHeight="1">
      <x:c r="A14" s="86" t="str">
        <x:v>ART-02</x:v>
      </x:c>
      <x:c r="B14" s="86" t="str">
        <x:v>Model comparison</x:v>
      </x:c>
      <x:c r="C14" s="110" t="str">
        <x:v>artifacts/metrics/model_comparison.csv</x:v>
      </x:c>
      <x:c r="D14" s="86" t="str">
        <x:v>Validation evidence</x:v>
      </x:c>
      <x:c r="E14" s="86" t="str">
        <x:v>Generated</x:v>
      </x:c>
      <x:c r="F14" s="86" t="str">
        <x:v>Synthetic</x:v>
      </x:c>
    </x:row>
    <x:row r="15" ht="42" customHeight="1">
      <x:c r="A15" s="86" t="str">
        <x:v>ART-03</x:v>
      </x:c>
      <x:c r="B15" s="86" t="str">
        <x:v>Monthly monitoring</x:v>
      </x:c>
      <x:c r="C15" s="110" t="str">
        <x:v>artifacts/monitoring/monthly_monitoring.csv</x:v>
      </x:c>
      <x:c r="D15" s="86" t="str">
        <x:v>Drift and performance</x:v>
      </x:c>
      <x:c r="E15" s="86" t="str">
        <x:v>Generated</x:v>
      </x:c>
      <x:c r="F15" s="86" t="str">
        <x:v>Synthetic</x:v>
      </x:c>
    </x:row>
    <x:row r="16" ht="42" customHeight="1">
      <x:c r="A16" s="87" t="str">
        <x:v>ART-04</x:v>
      </x:c>
      <x:c r="B16" s="87" t="str">
        <x:v>Fairness audit</x:v>
      </x:c>
      <x:c r="C16" s="111" t="str">
        <x:v>artifacts/metrics/fairness_summary.csv</x:v>
      </x:c>
      <x:c r="D16" s="87" t="str">
        <x:v>Governance signal</x:v>
      </x:c>
      <x:c r="E16" s="87" t="str">
        <x:v>Generated</x:v>
      </x:c>
      <x:c r="F16" s="87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5" hidden="0" customWidth="1"/>
  </x:cols>
  <x:sheetData>
    <x:row r="1" ht="34" customHeight="1">
      <x:c r="A1" s="22" t="str">
        <x:v>Workbook control checks</x:v>
      </x:c>
      <x:c r="B1" s="22"/>
      <x:c r="C1" s="22"/>
      <x:c r="D1" s="22"/>
      <x:c r="E1" s="22"/>
      <x:c r="F1" s="22"/>
      <x:c r="G1" s="22"/>
    </x:row>
    <x:row r="2" ht="34" customHeight="1">
      <x:c r="A2" s="25" t="str">
        <x:v>Formula-driven assertions across assumptions, outputs and generated evidence.</x:v>
      </x:c>
      <x:c r="B2" s="25"/>
      <x:c r="C2" s="25"/>
      <x:c r="D2" s="25"/>
      <x:c r="E2" s="25"/>
      <x:c r="F2" s="25"/>
      <x:c r="G2" s="25"/>
    </x:row>
    <x:row r="4" ht="28" customHeight="1">
      <x:c r="A4" s="34" t="str">
        <x:v>Check</x:v>
      </x:c>
      <x:c r="B4" s="35" t="str">
        <x:v>Actual</x:v>
      </x:c>
      <x:c r="C4" s="35" t="str">
        <x:v>Expected</x:v>
      </x:c>
      <x:c r="D4" s="35" t="str">
        <x:v>Difference</x:v>
      </x:c>
      <x:c r="E4" s="35" t="str">
        <x:v>Tolerance</x:v>
      </x:c>
      <x:c r="F4" s="35" t="str">
        <x:v>Status</x:v>
      </x:c>
      <x:c r="G4" s="36" t="str">
        <x:v>Fix hint</x:v>
      </x:c>
    </x:row>
    <x:row r="5">
      <x:c r="A5" s="13" t="str">
        <x:v>Approve threshold below refer threshold</x:v>
      </x:c>
      <x:c r="B5" s="91" t="n">
        <x:f>Assumptions!B6</x:f>
        <x:v>0.1</x:v>
      </x:c>
      <x:c r="C5" s="91" t="n">
        <x:v>0.22</x:v>
      </x:c>
      <x:c r="D5" s="91" t="n">
        <x:f>MAX(0,B5-C5)</x:f>
        <x:v>0</x:v>
      </x:c>
      <x:c r="E5" s="91" t="n">
        <x:v>0</x:v>
      </x:c>
      <x:c r="F5" s="13" t="str">
        <x:f>IF(Assumptions!B6&lt;Assumptions!B7,"PASS","FAIL")</x:f>
        <x:v>PASS</x:v>
      </x:c>
      <x:c r="G5" s="13" t="str">
        <x:v>Lower approve threshold or raise refer threshold</x:v>
      </x:c>
    </x:row>
    <x:row r="6">
      <x:c r="A6" s="14" t="str">
        <x:v>LGD within 0-100%</x:v>
      </x:c>
      <x:c r="B6" s="92" t="n">
        <x:f>Assumptions!B8</x:f>
        <x:v>0.45</x:v>
      </x:c>
      <x:c r="C6" s="92" t="n">
        <x:v>1</x:v>
      </x:c>
      <x:c r="D6" s="92" t="n">
        <x:f>MAX(0,B6-C6)</x:f>
        <x:v>0</x:v>
      </x:c>
      <x:c r="E6" s="92" t="n">
        <x:v>0</x:v>
      </x:c>
      <x:c r="F6" s="14" t="str">
        <x:f>IF(AND(B6&gt;=0,B6&lt;=C6),"PASS","FAIL")</x:f>
        <x:v>PASS</x:v>
      </x:c>
      <x:c r="G6" s="14" t="str">
        <x:v>Set LGD between 0% and 100%</x:v>
      </x:c>
    </x:row>
    <x:row r="7">
      <x:c r="A7" s="14" t="str">
        <x:v>Policy simulator row count</x:v>
      </x:c>
      <x:c r="B7" s="92" t="n">
        <x:f>COUNTA('Policy Simulator'!A11:A260)</x:f>
        <x:v>250</x:v>
      </x:c>
      <x:c r="C7" s="92" t="n">
        <x:v>250</x:v>
      </x:c>
      <x:c r="D7" s="92" t="n">
        <x:f>ABS(B7-C7)</x:f>
        <x:v>0</x:v>
      </x:c>
      <x:c r="E7" s="92" t="n">
        <x:v>0</x:v>
      </x:c>
      <x:c r="F7" s="14" t="str">
        <x:f>IF(D7&lt;=E7,"PASS","FAIL")</x:f>
        <x:v>PASS</x:v>
      </x:c>
      <x:c r="G7" s="14" t="str">
        <x:v>Restore 250 formula-driven sample rows</x:v>
      </x:c>
    </x:row>
    <x:row r="8">
      <x:c r="A8" s="14" t="str">
        <x:v>Risk band applications equal OOT total</x:v>
      </x:c>
      <x:c r="B8" s="92" t="n">
        <x:f>SUM('Risk Bands'!B5:B10)</x:f>
        <x:v>12065</x:v>
      </x:c>
      <x:c r="C8" s="92" t="n">
        <x:v>12065</x:v>
      </x:c>
      <x:c r="D8" s="92" t="n">
        <x:f>ABS(B8-C8)</x:f>
        <x:v>0</x:v>
      </x:c>
      <x:c r="E8" s="92" t="n">
        <x:v>0</x:v>
      </x:c>
      <x:c r="F8" s="14" t="str">
        <x:f>IF(D8&lt;=E8,"PASS","FAIL")</x:f>
        <x:v>PASS</x:v>
      </x:c>
      <x:c r="G8" s="14" t="str">
        <x:v>Refresh the risk-band source table</x:v>
      </x:c>
    </x:row>
    <x:row r="9">
      <x:c r="A9" s="14" t="str">
        <x:v>Monitoring contains 12 months</x:v>
      </x:c>
      <x:c r="B9" s="92" t="n">
        <x:f>COUNTA('Monthly Monitoring'!A5:A16)</x:f>
        <x:v>12</x:v>
      </x:c>
      <x:c r="C9" s="92" t="n">
        <x:v>12</x:v>
      </x:c>
      <x:c r="D9" s="92" t="n">
        <x:f>ABS(B9-C9)</x:f>
        <x:v>0</x:v>
      </x:c>
      <x:c r="E9" s="92" t="n">
        <x:v>0</x:v>
      </x:c>
      <x:c r="F9" s="14" t="str">
        <x:f>IF(D9&lt;=E9,"PASS","FAIL")</x:f>
        <x:v>PASS</x:v>
      </x:c>
      <x:c r="G9" s="14" t="str">
        <x:v>Refresh the monitoring source</x:v>
      </x:c>
    </x:row>
    <x:row r="10">
      <x:c r="A10" s="14" t="str">
        <x:v>SHAP additivity error</x:v>
      </x:c>
      <x:c r="B10" s="92" t="n">
        <x:f>2.6645352591003757e-15</x:f>
        <x:v>2.6645352591003757e-15</x:v>
      </x:c>
      <x:c r="C10" s="92" t="n">
        <x:v>0</x:v>
      </x:c>
      <x:c r="D10" s="92" t="n">
        <x:f>ABS(B10-C10)</x:f>
        <x:v>2.6645352591003757e-15</x:v>
      </x:c>
      <x:c r="E10" s="92" t="n">
        <x:v>1e-10</x:v>
      </x:c>
      <x:c r="F10" s="14" t="str">
        <x:f>IF(B10&lt;=E10,"PASS","FAIL")</x:f>
        <x:v>PASS</x:v>
      </x:c>
      <x:c r="G10" s="14" t="str">
        <x:v>Rebuild explanations and validate additivity</x:v>
      </x:c>
    </x:row>
    <x:row r="11">
      <x:c r="A11" s="14" t="str">
        <x:v>OOT AUC minimum gate</x:v>
      </x:c>
      <x:c r="B11" s="92" t="n">
        <x:f>0.737634572625172</x:f>
        <x:v>0.737634572625172</x:v>
      </x:c>
      <x:c r="C11" s="92" t="n">
        <x:v>0.7</x:v>
      </x:c>
      <x:c r="D11" s="92" t="n">
        <x:f>MAX(0,C11-B11)</x:f>
        <x:v>0</x:v>
      </x:c>
      <x:c r="E11" s="92" t="n">
        <x:v>0</x:v>
      </x:c>
      <x:c r="F11" s="14" t="str">
        <x:f>IF(B11&gt;=C11,"PASS","FAIL")</x:f>
        <x:v>PASS</x:v>
      </x:c>
      <x:c r="G11" s="14" t="str">
        <x:v>Redevelop or reject champion</x:v>
      </x:c>
    </x:row>
    <x:row r="12">
      <x:c r="A12" s="15" t="str">
        <x:v>Fairness review disposition surfaced</x:v>
      </x:c>
      <x:c r="B12" s="93" t="n">
        <x:f>COUNTIF('Fairness Review'!D16:D17,"GOVERNANCE_REVIEW_REQUIRED")</x:f>
        <x:v>1</x:v>
      </x:c>
      <x:c r="C12" s="93" t="n">
        <x:v>1</x:v>
      </x:c>
      <x:c r="D12" s="93" t="n">
        <x:f>MAX(0,C12-B12)</x:f>
        <x:v>0</x:v>
      </x:c>
      <x:c r="E12" s="93" t="n">
        <x:v>0</x:v>
      </x:c>
      <x:c r="F12" s="15" t="str">
        <x:f>IF(B12&gt;=C12,"PASS","FAIL")</x:f>
        <x:v>PASS</x:v>
      </x:c>
      <x:c r="G12" s="15" t="str">
        <x:v>Keep governance-review finding visible</x:v>
      </x:c>
    </x:row>
    <x:row r="14">
      <x:c r="A14" s="19" t="str">
        <x:v>Overall status</x:v>
      </x:c>
      <x:c r="B14" s="19"/>
      <x:c r="C14" s="19"/>
      <x:c r="D14" s="19"/>
      <x:c r="E14" s="19"/>
      <x:c r="F14" s="19"/>
      <x:c r="G14" s="19"/>
    </x:row>
    <x:row r="15">
      <x:c r="A15" s="113" t="str">
        <x:v>All workbook checks</x:v>
      </x:c>
      <x:c r="B15" s="113"/>
      <x:c r="C15" s="113"/>
      <x:c r="D15" s="113"/>
      <x:c r="E15" s="113"/>
      <x:c r="F15" s="113" t="str">
        <x:f>IF(COUNTIF(F5:F12,"FAIL")=0,"PASS","FAIL")</x:f>
        <x:v>PASS</x:v>
      </x:c>
      <x:c r="G15" s="113"/>
    </x:row>
    <x:row r="16">
      <x:c r="A16" s="113"/>
      <x:c r="B16" s="113"/>
      <x:c r="C16" s="113"/>
      <x:c r="D16" s="113"/>
      <x:c r="E16" s="113"/>
      <x:c r="F16" s="113"/>
      <x:c r="G16" s="113"/>
    </x:row>
  </x:sheetData>
  <x:mergeCells>
    <x:mergeCell ref="A1:G1"/>
    <x:mergeCell ref="A2:G2"/>
    <x:mergeCell ref="A14:G14"/>
    <x:mergeCell ref="A15:E16"/>
    <x:mergeCell ref="F15:G16"/>
  </x:mergeCells>
  <x:conditionalFormatting sqref="F5:F12">
    <x:cfRule type="containsText" dxfId="9" priority="1" operator="containsText" text="PASS"/>
    <x:cfRule type="containsText" dxfId="10" priority="2" operator="containsText" text="FAIL"/>
  </x:conditionalFormatting>
  <x:conditionalFormatting sqref="F15:G16">
    <x:cfRule type="containsText" dxfId="11" priority="3" operator="containsText" text="PASS"/>
  </x:conditionalFormatting>
  <x:pageMargins left="0.7" right="0.7" top="0.75" bottom="0.75" header="0.3" footer="0.3"/>
</x:worksheet>
</file>